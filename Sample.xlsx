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تدريب\"/>
    </mc:Choice>
  </mc:AlternateContent>
  <xr:revisionPtr revIDLastSave="0" documentId="13_ncr:1_{DCAD4817-C393-4152-811D-15BF599C247E}" xr6:coauthVersionLast="47" xr6:coauthVersionMax="47" xr10:uidLastSave="{00000000-0000-0000-0000-000000000000}"/>
  <bookViews>
    <workbookView xWindow="-120" yWindow="-120" windowWidth="29040" windowHeight="17640" activeTab="2" xr2:uid="{FC140704-32BC-43A7-9629-2FEDEB382ACA}"/>
  </bookViews>
  <sheets>
    <sheet name="Main Sheet" sheetId="1" r:id="rId1"/>
    <sheet name="Pivot table" sheetId="4" r:id="rId2"/>
    <sheet name="Sheet1" sheetId="5" r:id="rId3"/>
    <sheet name="Data Base" sheetId="3" r:id="rId4"/>
  </sheets>
  <definedNames>
    <definedName name="_xlnm._FilterDatabase" localSheetId="0" hidden="1">'Main Sheet'!$C$4:$C$88</definedName>
    <definedName name="_xlnm.Extract" localSheetId="0">'Main Sheet'!$K$5:$K$16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" i="1" l="1"/>
  <c r="E89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F10" i="1"/>
  <c r="D95" i="1"/>
  <c r="E92" i="1"/>
  <c r="E91" i="1"/>
  <c r="E90" i="1"/>
  <c r="F5" i="1"/>
  <c r="F6" i="1"/>
  <c r="F7" i="1"/>
  <c r="F8" i="1"/>
  <c r="F9" i="1"/>
  <c r="F11" i="1"/>
  <c r="F12" i="1"/>
  <c r="F13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L17" i="1" l="1"/>
  <c r="H90" i="1"/>
  <c r="L8" i="1"/>
  <c r="L10" i="1"/>
  <c r="L15" i="1"/>
  <c r="L16" i="1"/>
  <c r="L5" i="1"/>
  <c r="L11" i="1"/>
  <c r="L18" i="1"/>
  <c r="L9" i="1"/>
  <c r="H92" i="1"/>
  <c r="L6" i="1"/>
  <c r="L12" i="1"/>
  <c r="L14" i="1"/>
  <c r="L13" i="1"/>
  <c r="L7" i="1"/>
  <c r="H91" i="1"/>
  <c r="D94" i="1"/>
  <c r="D96" i="1" s="1"/>
  <c r="N13" i="1" l="1"/>
  <c r="O13" i="1"/>
  <c r="N5" i="1"/>
  <c r="O5" i="1"/>
  <c r="O17" i="1"/>
  <c r="N17" i="1"/>
  <c r="N14" i="1"/>
  <c r="O14" i="1"/>
  <c r="O9" i="1"/>
  <c r="N9" i="1"/>
  <c r="N16" i="1"/>
  <c r="O16" i="1"/>
  <c r="N8" i="1"/>
  <c r="O8" i="1"/>
  <c r="N12" i="1"/>
  <c r="O12" i="1"/>
  <c r="N18" i="1"/>
  <c r="O18" i="1"/>
  <c r="N15" i="1"/>
  <c r="O15" i="1"/>
  <c r="N7" i="1"/>
  <c r="O7" i="1"/>
  <c r="N6" i="1"/>
  <c r="O6" i="1"/>
  <c r="N11" i="1"/>
  <c r="O11" i="1"/>
  <c r="N10" i="1"/>
  <c r="O10" i="1"/>
</calcChain>
</file>

<file path=xl/sharedStrings.xml><?xml version="1.0" encoding="utf-8"?>
<sst xmlns="http://schemas.openxmlformats.org/spreadsheetml/2006/main" count="581" uniqueCount="151">
  <si>
    <t>Note</t>
  </si>
  <si>
    <t>Net bills of Port Said</t>
  </si>
  <si>
    <t>Alexandria net bills</t>
  </si>
  <si>
    <t>Assiut Net Bills</t>
  </si>
  <si>
    <t>Total bills of Assiut</t>
  </si>
  <si>
    <t>Alexandria bills total</t>
  </si>
  <si>
    <t>Port Said bills total</t>
  </si>
  <si>
    <t>Bill</t>
  </si>
  <si>
    <t>Discount</t>
  </si>
  <si>
    <t>Return</t>
  </si>
  <si>
    <t>Value</t>
  </si>
  <si>
    <t>Tax</t>
  </si>
  <si>
    <t>Tax is 14%</t>
  </si>
  <si>
    <t>Region</t>
  </si>
  <si>
    <t>Date</t>
  </si>
  <si>
    <t>Statement</t>
  </si>
  <si>
    <t>Customer Name</t>
  </si>
  <si>
    <t>Ahmed Mamdouh</t>
  </si>
  <si>
    <t>Hisham Fathy</t>
  </si>
  <si>
    <t>Mustafa Yousry</t>
  </si>
  <si>
    <t>Ayman Sadek</t>
  </si>
  <si>
    <t>Micheal Samir</t>
  </si>
  <si>
    <t>Mariam Mahmoud</t>
  </si>
  <si>
    <t>Said Afifi</t>
  </si>
  <si>
    <t>Ashraf Mahmoud</t>
  </si>
  <si>
    <t>Mahmoud El Masry</t>
  </si>
  <si>
    <t>Asaad Shreif</t>
  </si>
  <si>
    <t>Mourtada El Missery</t>
  </si>
  <si>
    <t>Sara El Shafi</t>
  </si>
  <si>
    <t>Manar El Daly</t>
  </si>
  <si>
    <t>Said Abd El Hameed</t>
  </si>
  <si>
    <t>Cairo</t>
  </si>
  <si>
    <t>Behira</t>
  </si>
  <si>
    <t>Alexandria</t>
  </si>
  <si>
    <t>Tanta</t>
  </si>
  <si>
    <t>Minya</t>
  </si>
  <si>
    <t>Sharqia</t>
  </si>
  <si>
    <t>Aswan</t>
  </si>
  <si>
    <t>Mansoura</t>
  </si>
  <si>
    <t>Giza</t>
  </si>
  <si>
    <t>Kafr El Sheikh</t>
  </si>
  <si>
    <t>Beni Suef</t>
  </si>
  <si>
    <t>Assiut</t>
  </si>
  <si>
    <t>Faiyum</t>
  </si>
  <si>
    <t>Port Said</t>
  </si>
  <si>
    <t>Customer Data</t>
  </si>
  <si>
    <t>Total of Bills</t>
  </si>
  <si>
    <t>Total of Discounts, Returns and Taxes</t>
  </si>
  <si>
    <t>Net Profit</t>
  </si>
  <si>
    <t>Customer Totals</t>
  </si>
  <si>
    <t>Customer</t>
  </si>
  <si>
    <t>Net Sales</t>
  </si>
  <si>
    <t>Classification</t>
  </si>
  <si>
    <t>Percentage</t>
  </si>
  <si>
    <t>Grand Total</t>
  </si>
  <si>
    <t>Sum of Net Sales</t>
  </si>
  <si>
    <t>Class A</t>
  </si>
  <si>
    <t>Class C</t>
  </si>
  <si>
    <t>Class B</t>
  </si>
  <si>
    <t xml:space="preserve"> Percentage</t>
  </si>
  <si>
    <t>Jun</t>
  </si>
  <si>
    <t>Jul</t>
  </si>
  <si>
    <t>Aug</t>
  </si>
  <si>
    <t>Sep</t>
  </si>
  <si>
    <t xml:space="preserve"> Tax</t>
  </si>
  <si>
    <t xml:space="preserve"> Value</t>
  </si>
  <si>
    <t>14-Jun</t>
  </si>
  <si>
    <t>28-Jun</t>
  </si>
  <si>
    <t>23-Jun</t>
  </si>
  <si>
    <t>21-Jun</t>
  </si>
  <si>
    <t>17-Jun</t>
  </si>
  <si>
    <t>15-Jun</t>
  </si>
  <si>
    <t>29-Jun</t>
  </si>
  <si>
    <t>22-Jun</t>
  </si>
  <si>
    <t>26-Jun</t>
  </si>
  <si>
    <t>19-Jun</t>
  </si>
  <si>
    <t>18-Jun</t>
  </si>
  <si>
    <t>24-Jun</t>
  </si>
  <si>
    <t>16-Jun</t>
  </si>
  <si>
    <t>30-Jun</t>
  </si>
  <si>
    <t>27-Jun</t>
  </si>
  <si>
    <t>20-Jun</t>
  </si>
  <si>
    <t>25-Jun</t>
  </si>
  <si>
    <t>12-Jul</t>
  </si>
  <si>
    <t>26-Jul</t>
  </si>
  <si>
    <t>07-Jul</t>
  </si>
  <si>
    <t>21-Jul</t>
  </si>
  <si>
    <t>05-Jul</t>
  </si>
  <si>
    <t>19-Jul</t>
  </si>
  <si>
    <t>01-Jul</t>
  </si>
  <si>
    <t>15-Jul</t>
  </si>
  <si>
    <t>29-Jul</t>
  </si>
  <si>
    <t>13-Jul</t>
  </si>
  <si>
    <t>27-Jul</t>
  </si>
  <si>
    <t>06-Jul</t>
  </si>
  <si>
    <t>20-Jul</t>
  </si>
  <si>
    <t>10-Jul</t>
  </si>
  <si>
    <t>24-Jul</t>
  </si>
  <si>
    <t>03-Jul</t>
  </si>
  <si>
    <t>17-Jul</t>
  </si>
  <si>
    <t>31-Jul</t>
  </si>
  <si>
    <t>02-Jul</t>
  </si>
  <si>
    <t>16-Jul</t>
  </si>
  <si>
    <t>30-Jul</t>
  </si>
  <si>
    <t>08-Jul</t>
  </si>
  <si>
    <t>22-Jul</t>
  </si>
  <si>
    <t>14-Jul</t>
  </si>
  <si>
    <t>28-Jul</t>
  </si>
  <si>
    <t>11-Jul</t>
  </si>
  <si>
    <t>25-Jul</t>
  </si>
  <si>
    <t>04-Jul</t>
  </si>
  <si>
    <t>18-Jul</t>
  </si>
  <si>
    <t>09-Jul</t>
  </si>
  <si>
    <t>23-Jul</t>
  </si>
  <si>
    <t>09-Aug</t>
  </si>
  <si>
    <t>23-Aug</t>
  </si>
  <si>
    <t>04-Aug</t>
  </si>
  <si>
    <t>01-Sep</t>
  </si>
  <si>
    <t>18-Aug</t>
  </si>
  <si>
    <t>02-Aug</t>
  </si>
  <si>
    <t>16-Aug</t>
  </si>
  <si>
    <t>30-Aug</t>
  </si>
  <si>
    <t>12-Aug</t>
  </si>
  <si>
    <t>26-Aug</t>
  </si>
  <si>
    <t>10-Aug</t>
  </si>
  <si>
    <t>24-Aug</t>
  </si>
  <si>
    <t>03-Aug</t>
  </si>
  <si>
    <t>31-Aug</t>
  </si>
  <si>
    <t>17-Aug</t>
  </si>
  <si>
    <t>07-Aug</t>
  </si>
  <si>
    <t>21-Aug</t>
  </si>
  <si>
    <t>04-Sep</t>
  </si>
  <si>
    <t>28-Aug</t>
  </si>
  <si>
    <t>14-Aug</t>
  </si>
  <si>
    <t>13-Aug</t>
  </si>
  <si>
    <t>27-Aug</t>
  </si>
  <si>
    <t>05-Aug</t>
  </si>
  <si>
    <t>02-Sep</t>
  </si>
  <si>
    <t>19-Aug</t>
  </si>
  <si>
    <t>11-Aug</t>
  </si>
  <si>
    <t>25-Aug</t>
  </si>
  <si>
    <t>08-Aug</t>
  </si>
  <si>
    <t>05-Sep</t>
  </si>
  <si>
    <t>22-Aug</t>
  </si>
  <si>
    <t>01-Aug</t>
  </si>
  <si>
    <t>29-Aug</t>
  </si>
  <si>
    <t>15-Aug</t>
  </si>
  <si>
    <t>06-Aug</t>
  </si>
  <si>
    <t>03-Sep</t>
  </si>
  <si>
    <t>20-Aug</t>
  </si>
  <si>
    <t>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</si>
</sst>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EGP]\ * #,##0_-;\-[$EGP]\ * #,##0_-;_-[$EGP]\ * &quot;-&quot;_-;_-@_-"/>
  </numFmts>
  <fonts count="17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0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2"/>
      <color theme="1"/>
      <name val="Calibri"/>
      <family val="2"/>
    </font>
    <font>
      <b/>
      <sz val="12"/>
      <color theme="0"/>
      <name val="Times New Roman"/>
      <family val="1"/>
    </font>
    <font>
      <b/>
      <sz val="12"/>
      <color theme="3" tint="9.9978637043366805E-2"/>
      <name val="Times New Roman"/>
      <family val="1"/>
    </font>
    <font>
      <b/>
      <sz val="16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0"/>
      <name val="Calibri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gradientFill>
        <stop position="0">
          <color theme="8" tint="0.59999389629810485"/>
        </stop>
        <stop position="1">
          <color theme="7" tint="0.80001220740379042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gradientFill type="path" left="0.5" right="0.5" top="0.5" bottom="0.5">
        <stop position="0">
          <color theme="6" tint="0.80001220740379042"/>
        </stop>
        <stop position="1">
          <color theme="6" tint="0.40000610370189521"/>
        </stop>
      </gradientFill>
    </fill>
    <fill>
      <patternFill patternType="solid">
        <fgColor theme="9" tint="0.79998168889431442"/>
        <bgColor indexed="64"/>
      </patternFill>
    </fill>
    <fill>
      <gradientFill type="path">
        <stop position="0">
          <color rgb="FF993366"/>
        </stop>
        <stop position="1">
          <color theme="8" tint="0.40000610370189521"/>
        </stop>
      </gradientFill>
    </fill>
  </fills>
  <borders count="28">
    <border>
      <left/>
      <right/>
      <top/>
      <bottom/>
      <diagonal/>
    </border>
    <border>
      <left style="thick">
        <color rgb="FF00B0F0"/>
      </left>
      <right/>
      <top style="thick">
        <color rgb="FF00B0F0"/>
      </top>
      <bottom style="thick">
        <color rgb="FF00B0F0"/>
      </bottom>
      <diagonal/>
    </border>
    <border>
      <left/>
      <right/>
      <top style="thick">
        <color rgb="FF00B0F0"/>
      </top>
      <bottom style="thick">
        <color rgb="FF00B0F0"/>
      </bottom>
      <diagonal/>
    </border>
    <border>
      <left/>
      <right style="thick">
        <color rgb="FF00B0F0"/>
      </right>
      <top style="thick">
        <color rgb="FF00B0F0"/>
      </top>
      <bottom style="thick">
        <color rgb="FF00B0F0"/>
      </bottom>
      <diagonal/>
    </border>
    <border>
      <left style="thick">
        <color rgb="FF00B0F0"/>
      </left>
      <right/>
      <top style="thick">
        <color rgb="FF00B0F0"/>
      </top>
      <bottom/>
      <diagonal/>
    </border>
    <border>
      <left/>
      <right/>
      <top style="thick">
        <color rgb="FF00B0F0"/>
      </top>
      <bottom/>
      <diagonal/>
    </border>
    <border>
      <left/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/>
      <bottom style="thick">
        <color rgb="FF00B0F0"/>
      </bottom>
      <diagonal/>
    </border>
    <border>
      <left/>
      <right style="thick">
        <color rgb="FF00B0F0"/>
      </right>
      <top/>
      <bottom style="thick">
        <color rgb="FF00B0F0"/>
      </bottom>
      <diagonal/>
    </border>
    <border>
      <left style="thick">
        <color rgb="FF00B0F0"/>
      </left>
      <right/>
      <top/>
      <bottom/>
      <diagonal/>
    </border>
    <border>
      <left/>
      <right style="thick">
        <color rgb="FF00B0F0"/>
      </right>
      <top/>
      <bottom/>
      <diagonal/>
    </border>
    <border>
      <left style="medium">
        <color theme="7" tint="0.39994506668294322"/>
      </left>
      <right style="medium">
        <color theme="7" tint="0.39994506668294322"/>
      </right>
      <top style="thick">
        <color theme="7" tint="0.39994506668294322"/>
      </top>
      <bottom style="medium">
        <color theme="7" tint="0.39994506668294322"/>
      </bottom>
      <diagonal/>
    </border>
    <border>
      <left style="medium">
        <color theme="7" tint="0.39994506668294322"/>
      </left>
      <right style="thick">
        <color theme="7" tint="0.39994506668294322"/>
      </right>
      <top style="medium">
        <color theme="7" tint="0.39994506668294322"/>
      </top>
      <bottom style="thick">
        <color theme="7" tint="0.39994506668294322"/>
      </bottom>
      <diagonal/>
    </border>
    <border>
      <left style="thick">
        <color theme="7" tint="0.39994506668294322"/>
      </left>
      <right/>
      <top style="medium">
        <color theme="7" tint="0.39994506668294322"/>
      </top>
      <bottom style="thick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ck">
        <color theme="7" tint="0.39994506668294322"/>
      </bottom>
      <diagonal/>
    </border>
    <border>
      <left style="thick">
        <color theme="7" tint="0.39994506668294322"/>
      </left>
      <right/>
      <top style="thick">
        <color theme="7" tint="0.39994506668294322"/>
      </top>
      <bottom style="thick">
        <color theme="7" tint="0.39994506668294322"/>
      </bottom>
      <diagonal/>
    </border>
    <border>
      <left/>
      <right style="medium">
        <color theme="7" tint="0.39994506668294322"/>
      </right>
      <top style="thick">
        <color theme="7" tint="0.39994506668294322"/>
      </top>
      <bottom style="thick">
        <color theme="7" tint="0.39994506668294322"/>
      </bottom>
      <diagonal/>
    </border>
    <border>
      <left style="medium">
        <color theme="7" tint="0.39994506668294322"/>
      </left>
      <right/>
      <top style="thick">
        <color theme="7" tint="0.39994506668294322"/>
      </top>
      <bottom style="medium">
        <color theme="7" tint="0.39991454817346722"/>
      </bottom>
      <diagonal/>
    </border>
    <border>
      <left/>
      <right style="medium">
        <color theme="7" tint="0.39994506668294322"/>
      </right>
      <top style="thick">
        <color theme="7" tint="0.39994506668294322"/>
      </top>
      <bottom style="medium">
        <color theme="7" tint="0.39991454817346722"/>
      </bottom>
      <diagonal/>
    </border>
    <border>
      <left style="medium">
        <color theme="7" tint="0.39994506668294322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/>
      <right style="medium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4506668294322"/>
      </left>
      <right/>
      <top style="medium">
        <color theme="7" tint="0.39991454817346722"/>
      </top>
      <bottom style="thick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1454817346722"/>
      </top>
      <bottom style="thick">
        <color theme="7" tint="0.39994506668294322"/>
      </bottom>
      <diagonal/>
    </border>
    <border>
      <left style="thick">
        <color theme="7" tint="0.39994506668294322"/>
      </left>
      <right style="medium">
        <color theme="7" tint="0.39994506668294322"/>
      </right>
      <top/>
      <bottom style="medium">
        <color theme="7" tint="0.39994506668294322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FF5B5B"/>
      </left>
      <right style="thick">
        <color rgb="FFFF5B5B"/>
      </right>
      <top style="thick">
        <color rgb="FF00B050"/>
      </top>
      <bottom style="thick">
        <color rgb="FFFF5B5B"/>
      </bottom>
      <diagonal/>
    </border>
    <border>
      <left style="thick">
        <color theme="8" tint="0.59996337778862885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4" fillId="4" borderId="13" xfId="0" applyNumberFormat="1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0" fontId="10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0" fontId="11" fillId="0" borderId="0" xfId="0" pivotButton="1" applyFont="1" applyAlignment="1">
      <alignment horizontal="left" vertical="center"/>
    </xf>
    <xf numFmtId="0" fontId="14" fillId="0" borderId="0" xfId="0" applyFont="1"/>
    <xf numFmtId="0" fontId="9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left" vertical="center"/>
    </xf>
    <xf numFmtId="0" fontId="15" fillId="0" borderId="0" xfId="0" pivotButton="1" applyFont="1" applyAlignment="1">
      <alignment horizontal="left" vertical="center"/>
    </xf>
    <xf numFmtId="0" fontId="8" fillId="8" borderId="27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</cellXfs>
  <cellStyles count="1">
    <cellStyle name="Normal" xfId="0" builtinId="0"/>
  </cellStyles>
  <dxfs count="98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[$EGP]\ * #,##0_-;\-[$EGP]\ * #,##0_-;_-[$EGP]\ * &quot;-&quot;_-;_-@_-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ck">
          <color rgb="FF00B0F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z val="14"/>
      </font>
    </dxf>
    <dxf>
      <font>
        <sz val="14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sz val="14"/>
      </font>
    </dxf>
    <dxf>
      <font>
        <sz val="14"/>
      </font>
    </dxf>
    <dxf>
      <alignment vertical="center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ck">
          <color rgb="FF00B0F0"/>
        </left>
        <right/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numFmt numFmtId="164" formatCode="_-[$EGP]\ * #,##0_-;\-[$EGP]\ * #,##0_-;_-[$EGP]\ * &quot;-&quot;_-;_-@_-"/>
    </dxf>
    <dxf>
      <border diagonalUp="0" diagonalDown="0">
        <left style="thick">
          <color rgb="FF00B0F0"/>
        </left>
        <right/>
        <top/>
        <bottom/>
        <vertical/>
        <horizontal/>
      </border>
    </dxf>
    <dxf>
      <border>
        <top style="thick">
          <color theme="5" tint="-0.24994659260841701"/>
        </top>
      </border>
    </dxf>
    <dxf>
      <border diagonalUp="0" diagonalDown="0">
        <left style="dotted">
          <color theme="5" tint="-0.24994659260841701"/>
        </left>
        <right style="dotted">
          <color theme="5" tint="-0.24994659260841701"/>
        </right>
        <top/>
        <bottom/>
        <vertical style="dotted">
          <color theme="5" tint="-0.24994659260841701"/>
        </vertical>
        <horizontal style="dotted">
          <color theme="5" tint="-0.2499465926084170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>
        <bottom style="thick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F0066"/>
      <color rgb="FF993366"/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46318897637795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'Main Sheet'!$L$4</c:f>
              <c:strCache>
                <c:ptCount val="1"/>
                <c:pt idx="0">
                  <c:v>Net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4.7222222222222117E-2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8E6-4BB1-9315-D69EBA31C61D}"/>
                </c:ext>
              </c:extLst>
            </c:dLbl>
            <c:dLbl>
              <c:idx val="1"/>
              <c:layout>
                <c:manualLayout>
                  <c:x val="0.05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8E6-4BB1-9315-D69EBA31C61D}"/>
                </c:ext>
              </c:extLst>
            </c:dLbl>
            <c:dLbl>
              <c:idx val="2"/>
              <c:layout>
                <c:manualLayout>
                  <c:x val="1.1111111111111112E-2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8E6-4BB1-9315-D69EBA31C61D}"/>
                </c:ext>
              </c:extLst>
            </c:dLbl>
            <c:dLbl>
              <c:idx val="3"/>
              <c:layout>
                <c:manualLayout>
                  <c:x val="3.333333333333328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8E6-4BB1-9315-D69EBA31C61D}"/>
                </c:ext>
              </c:extLst>
            </c:dLbl>
            <c:dLbl>
              <c:idx val="4"/>
              <c:layout>
                <c:manualLayout>
                  <c:x val="8.0555555555555561E-2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8E6-4BB1-9315-D69EBA31C61D}"/>
                </c:ext>
              </c:extLst>
            </c:dLbl>
            <c:dLbl>
              <c:idx val="5"/>
              <c:layout>
                <c:manualLayout>
                  <c:x val="0.28055555555555556"/>
                  <c:y val="4.629629629629714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E6-4BB1-9315-D69EBA31C61D}"/>
                </c:ext>
              </c:extLst>
            </c:dLbl>
            <c:dLbl>
              <c:idx val="6"/>
              <c:layout>
                <c:manualLayout>
                  <c:x val="8.61111111111111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8E6-4BB1-9315-D69EBA31C61D}"/>
                </c:ext>
              </c:extLst>
            </c:dLbl>
            <c:dLbl>
              <c:idx val="7"/>
              <c:layout>
                <c:manualLayout>
                  <c:x val="4.722222222222217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E6-4BB1-9315-D69EBA31C61D}"/>
                </c:ext>
              </c:extLst>
            </c:dLbl>
            <c:dLbl>
              <c:idx val="8"/>
              <c:layout>
                <c:manualLayout>
                  <c:x val="0.1722222222222222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E6-4BB1-9315-D69EBA31C61D}"/>
                </c:ext>
              </c:extLst>
            </c:dLbl>
            <c:dLbl>
              <c:idx val="9"/>
              <c:layout>
                <c:manualLayout>
                  <c:x val="1.6666666666666666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E6-4BB1-9315-D69EBA31C61D}"/>
                </c:ext>
              </c:extLst>
            </c:dLbl>
            <c:dLbl>
              <c:idx val="10"/>
              <c:layout>
                <c:manualLayout>
                  <c:x val="9.7222222222222127E-2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E6-4BB1-9315-D69EBA31C61D}"/>
                </c:ext>
              </c:extLst>
            </c:dLbl>
            <c:dLbl>
              <c:idx val="11"/>
              <c:layout>
                <c:manualLayout>
                  <c:x val="9.1666666666666563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E6-4BB1-9315-D69EBA31C61D}"/>
                </c:ext>
              </c:extLst>
            </c:dLbl>
            <c:dLbl>
              <c:idx val="12"/>
              <c:layout>
                <c:manualLayout>
                  <c:x val="2.222222222222222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E6-4BB1-9315-D69EBA31C61D}"/>
                </c:ext>
              </c:extLst>
            </c:dLbl>
            <c:dLbl>
              <c:idx val="13"/>
              <c:layout>
                <c:manualLayout>
                  <c:x val="5.5555555555555552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E6-4BB1-9315-D69EBA31C6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'Main Sheet'!$K$5:$K$18</c:f>
              <c:strCache>
                <c:ptCount val="14"/>
                <c:pt idx="0">
                  <c:v>Ahmed Mamdouh</c:v>
                </c:pt>
                <c:pt idx="1">
                  <c:v>Hisham Fathy</c:v>
                </c:pt>
                <c:pt idx="2">
                  <c:v>Mustafa Yousry</c:v>
                </c:pt>
                <c:pt idx="3">
                  <c:v>Ayman Sadek</c:v>
                </c:pt>
                <c:pt idx="4">
                  <c:v>Micheal Samir</c:v>
                </c:pt>
                <c:pt idx="5">
                  <c:v>Mariam Mahmoud</c:v>
                </c:pt>
                <c:pt idx="6">
                  <c:v>Said Afifi</c:v>
                </c:pt>
                <c:pt idx="7">
                  <c:v>Ashraf Mahmoud</c:v>
                </c:pt>
                <c:pt idx="8">
                  <c:v>Mahmoud El Masry</c:v>
                </c:pt>
                <c:pt idx="9">
                  <c:v>Asaad Shreif</c:v>
                </c:pt>
                <c:pt idx="10">
                  <c:v>Mourtada El Missery</c:v>
                </c:pt>
                <c:pt idx="11">
                  <c:v>Sara El Shafi</c:v>
                </c:pt>
                <c:pt idx="12">
                  <c:v>Manar El Daly</c:v>
                </c:pt>
                <c:pt idx="13">
                  <c:v>Said Abd El Hameed</c:v>
                </c:pt>
              </c:strCache>
            </c:strRef>
          </c:cat>
          <c:val>
            <c:numRef>
              <c:f>'Main Sheet'!$L$5:$L$18</c:f>
              <c:numCache>
                <c:formatCode>General</c:formatCode>
                <c:ptCount val="14"/>
                <c:pt idx="0">
                  <c:v>138976</c:v>
                </c:pt>
                <c:pt idx="1">
                  <c:v>76896</c:v>
                </c:pt>
                <c:pt idx="2">
                  <c:v>227470</c:v>
                </c:pt>
                <c:pt idx="3">
                  <c:v>2746</c:v>
                </c:pt>
                <c:pt idx="4">
                  <c:v>48340</c:v>
                </c:pt>
                <c:pt idx="5">
                  <c:v>36987.599999999999</c:v>
                </c:pt>
                <c:pt idx="6">
                  <c:v>42746</c:v>
                </c:pt>
                <c:pt idx="7">
                  <c:v>26256</c:v>
                </c:pt>
                <c:pt idx="8">
                  <c:v>14570</c:v>
                </c:pt>
                <c:pt idx="9">
                  <c:v>2844</c:v>
                </c:pt>
                <c:pt idx="10">
                  <c:v>103216</c:v>
                </c:pt>
                <c:pt idx="11">
                  <c:v>99628</c:v>
                </c:pt>
                <c:pt idx="12">
                  <c:v>182578</c:v>
                </c:pt>
                <c:pt idx="13">
                  <c:v>167458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6-4BB1-9315-D69EBA31C6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41582079"/>
        <c:axId val="1105515951"/>
        <c:axId val="0"/>
      </c:bar3DChart>
      <c:catAx>
        <c:axId val="1041582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515951"/>
        <c:crosses val="autoZero"/>
        <c:auto val="1"/>
        <c:lblAlgn val="ctr"/>
        <c:lblOffset val="100"/>
        <c:noMultiLvlLbl val="0"/>
      </c:catAx>
      <c:valAx>
        <c:axId val="1105515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58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846260</xdr:colOff>
      <xdr:row>18</xdr:row>
      <xdr:rowOff>181709</xdr:rowOff>
    </xdr:from>
    <xdr:to>
      <xdr:col>14</xdr:col>
      <xdr:colOff>289413</xdr:colOff>
      <xdr:row>33</xdr:row>
      <xdr:rowOff>67409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6FFACD-50E0-0B54-9779-2344C210D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lokhia" refreshedDate="46263.805287615738" createdVersion="8" refreshedVersion="8" minRefreshableVersion="3" recordCount="14" xr:uid="{CC24F5CE-440C-4083-8719-87F5E571CC1E}">
  <cacheSource type="worksheet">
    <worksheetSource name="Brief"/>
  </cacheSource>
  <cacheFields count="5">
    <cacheField name="Customer" numFmtId="0">
      <sharedItems count="14">
        <s v="Ahmed Mamdouh"/>
        <s v="Hisham Fathy"/>
        <s v="Mustafa Yousry"/>
        <s v="Ayman Sadek"/>
        <s v="Micheal Samir"/>
        <s v="Mariam Mahmoud"/>
        <s v="Said Afifi"/>
        <s v="Ashraf Mahmoud"/>
        <s v="Mahmoud El Masry"/>
        <s v="Asaad Shreif"/>
        <s v="Mourtada El Missery"/>
        <s v="Sara El Shafi"/>
        <s v="Manar El Daly"/>
        <s v="Said Abd El Hameed"/>
      </sharedItems>
    </cacheField>
    <cacheField name="Net Sales" numFmtId="0">
      <sharedItems containsSemiMixedTypes="0" containsString="0" containsNumber="1" minValue="2746" maxValue="227470" count="14">
        <n v="138976"/>
        <n v="76896"/>
        <n v="227470"/>
        <n v="2746"/>
        <n v="48340"/>
        <n v="36987.599999999999"/>
        <n v="42746"/>
        <n v="26256"/>
        <n v="14570"/>
        <n v="2844"/>
        <n v="103216"/>
        <n v="99628"/>
        <n v="182578"/>
        <n v="167458"/>
      </sharedItems>
    </cacheField>
    <cacheField name="Region" numFmtId="0">
      <sharedItems count="14">
        <s v="Cairo"/>
        <s v="Behira"/>
        <s v="Alexandria"/>
        <s v="Tanta"/>
        <s v="Minya"/>
        <s v="Sharqia"/>
        <s v="Aswan"/>
        <s v="Mansoura"/>
        <s v="Giza"/>
        <s v="Kafr El Sheikh"/>
        <s v="Beni Suef"/>
        <s v="Assiut"/>
        <s v="Faiyum"/>
        <s v="Port Said"/>
      </sharedItems>
    </cacheField>
    <cacheField name="Classification" numFmtId="0">
      <sharedItems count="3">
        <s v="Class A"/>
        <s v="Class B"/>
        <s v="Class C"/>
      </sharedItems>
    </cacheField>
    <cacheField name="Percentage" numFmtId="10">
      <sharedItems containsSemiMixedTypes="0" containsString="0" containsNumber="1" minValue="2.3455819520366928E-3" maxValue="0.194300628779965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lokhia" refreshedDate="46263.814361805555" createdVersion="8" refreshedVersion="8" minRefreshableVersion="3" recordCount="84" xr:uid="{3EB720BD-4DAE-414E-B532-9960BDCB91B6}">
  <cacheSource type="worksheet">
    <worksheetSource name="Main"/>
  </cacheSource>
  <cacheFields count="8">
    <cacheField name="Customer Name" numFmtId="0">
      <sharedItems count="14">
        <s v="Ahmed Mamdouh"/>
        <s v="Hisham Fathy"/>
        <s v="Mustafa Yousry"/>
        <s v="Ayman Sadek"/>
        <s v="Micheal Samir"/>
        <s v="Mariam Mahmoud"/>
        <s v="Said Afifi"/>
        <s v="Ashraf Mahmoud"/>
        <s v="Mahmoud El Masry"/>
        <s v="Asaad Shreif"/>
        <s v="Mourtada El Missery"/>
        <s v="Sara El Shafi"/>
        <s v="Manar El Daly"/>
        <s v="Said Abd El Hameed"/>
      </sharedItems>
    </cacheField>
    <cacheField name="Statement" numFmtId="0">
      <sharedItems count="3">
        <s v="Bill"/>
        <s v="Return"/>
        <s v="Discount"/>
      </sharedItems>
    </cacheField>
    <cacheField name="Value" numFmtId="164">
      <sharedItems containsSemiMixedTypes="0" containsString="0" containsNumber="1" containsInteger="1" minValue="600" maxValue="98000"/>
    </cacheField>
    <cacheField name="Tax" numFmtId="0">
      <sharedItems containsSemiMixedTypes="0" containsString="0" containsNumber="1" minValue="84.000000000000014" maxValue="13720.000000000002"/>
    </cacheField>
    <cacheField name="Region" numFmtId="0">
      <sharedItems count="14">
        <s v="Cairo"/>
        <s v="Behira"/>
        <s v="Alexandria"/>
        <s v="Tanta"/>
        <s v="Minya"/>
        <s v="Sharqia"/>
        <s v="Aswan"/>
        <s v="Mansoura"/>
        <s v="Giza"/>
        <s v="Kafr El Sheikh"/>
        <s v="Beni Suef"/>
        <s v="Assiut"/>
        <s v="Faiyum"/>
        <s v="Port Said"/>
      </sharedItems>
    </cacheField>
    <cacheField name="Date" numFmtId="14">
      <sharedItems containsSemiMixedTypes="0" containsNonDate="0" containsDate="1" containsString="0" minDate="2023-06-14T00:00:00" maxDate="2023-09-06T00:00:00" count="84"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</sharedItems>
      <fieldGroup par="7"/>
    </cacheField>
    <cacheField name="Days (Date)" numFmtId="0" databaseField="0">
      <fieldGroup base="5">
        <rangePr groupBy="days" startDate="2023-06-14T00:00:00" endDate="2023-09-06T00:00:00"/>
        <groupItems count="368">
          <s v="&lt;14/06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6/09/2023"/>
        </groupItems>
      </fieldGroup>
    </cacheField>
    <cacheField name="Months (Date)" numFmtId="0" databaseField="0">
      <fieldGroup base="5">
        <rangePr groupBy="months" startDate="2023-06-14T00:00:00" endDate="2023-09-06T00:00:00"/>
        <groupItems count="14">
          <s v="&lt;14/06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9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x v="0"/>
    <n v="0.11871070552303402"/>
  </r>
  <r>
    <x v="1"/>
    <x v="1"/>
    <x v="1"/>
    <x v="1"/>
    <n v="6.5683128107725239E-2"/>
  </r>
  <r>
    <x v="2"/>
    <x v="2"/>
    <x v="2"/>
    <x v="0"/>
    <n v="0.19430062877996596"/>
  </r>
  <r>
    <x v="3"/>
    <x v="3"/>
    <x v="3"/>
    <x v="2"/>
    <n v="2.3455819520366928E-3"/>
  </r>
  <r>
    <x v="4"/>
    <x v="4"/>
    <x v="4"/>
    <x v="1"/>
    <n v="4.1291125841752999E-2"/>
  </r>
  <r>
    <x v="5"/>
    <x v="5"/>
    <x v="5"/>
    <x v="1"/>
    <n v="3.1594117628970277E-2"/>
  </r>
  <r>
    <x v="6"/>
    <x v="6"/>
    <x v="6"/>
    <x v="1"/>
    <n v="3.6512835441282032E-2"/>
  </r>
  <r>
    <x v="7"/>
    <x v="7"/>
    <x v="7"/>
    <x v="2"/>
    <n v="2.2427385190340644E-2"/>
  </r>
  <r>
    <x v="8"/>
    <x v="8"/>
    <x v="8"/>
    <x v="2"/>
    <n v="1.2445422083457615E-2"/>
  </r>
  <r>
    <x v="9"/>
    <x v="9"/>
    <x v="9"/>
    <x v="2"/>
    <n v="2.4292917230853439E-3"/>
  </r>
  <r>
    <x v="10"/>
    <x v="10"/>
    <x v="10"/>
    <x v="0"/>
    <n v="8.8165180903648679E-2"/>
  </r>
  <r>
    <x v="11"/>
    <x v="11"/>
    <x v="11"/>
    <x v="1"/>
    <n v="8.5100378265663371E-2"/>
  </r>
  <r>
    <x v="12"/>
    <x v="12"/>
    <x v="12"/>
    <x v="0"/>
    <n v="0.1559547201889859"/>
  </r>
  <r>
    <x v="13"/>
    <x v="13"/>
    <x v="13"/>
    <x v="0"/>
    <n v="0.143039498370051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n v="5000"/>
    <n v="700.00000000000011"/>
    <x v="0"/>
    <x v="0"/>
  </r>
  <r>
    <x v="1"/>
    <x v="0"/>
    <n v="2000"/>
    <n v="280"/>
    <x v="1"/>
    <x v="1"/>
  </r>
  <r>
    <x v="2"/>
    <x v="0"/>
    <n v="23000"/>
    <n v="3220.0000000000005"/>
    <x v="2"/>
    <x v="2"/>
  </r>
  <r>
    <x v="3"/>
    <x v="0"/>
    <n v="3200"/>
    <n v="448.00000000000006"/>
    <x v="3"/>
    <x v="3"/>
  </r>
  <r>
    <x v="4"/>
    <x v="0"/>
    <n v="84000"/>
    <n v="11760.000000000002"/>
    <x v="4"/>
    <x v="4"/>
  </r>
  <r>
    <x v="5"/>
    <x v="0"/>
    <n v="2560"/>
    <n v="358.40000000000003"/>
    <x v="5"/>
    <x v="5"/>
  </r>
  <r>
    <x v="6"/>
    <x v="0"/>
    <n v="900"/>
    <n v="126.00000000000001"/>
    <x v="6"/>
    <x v="6"/>
  </r>
  <r>
    <x v="7"/>
    <x v="0"/>
    <n v="98000"/>
    <n v="13720.000000000002"/>
    <x v="7"/>
    <x v="7"/>
  </r>
  <r>
    <x v="8"/>
    <x v="0"/>
    <n v="71000"/>
    <n v="9940.0000000000018"/>
    <x v="8"/>
    <x v="8"/>
  </r>
  <r>
    <x v="9"/>
    <x v="0"/>
    <n v="41000"/>
    <n v="5740.0000000000009"/>
    <x v="9"/>
    <x v="9"/>
  </r>
  <r>
    <x v="10"/>
    <x v="0"/>
    <n v="2600"/>
    <n v="364.00000000000006"/>
    <x v="10"/>
    <x v="10"/>
  </r>
  <r>
    <x v="11"/>
    <x v="0"/>
    <n v="2800"/>
    <n v="392.00000000000006"/>
    <x v="11"/>
    <x v="11"/>
  </r>
  <r>
    <x v="12"/>
    <x v="0"/>
    <n v="9200"/>
    <n v="1288.0000000000002"/>
    <x v="12"/>
    <x v="12"/>
  </r>
  <r>
    <x v="13"/>
    <x v="0"/>
    <n v="6100"/>
    <n v="854.00000000000011"/>
    <x v="13"/>
    <x v="13"/>
  </r>
  <r>
    <x v="0"/>
    <x v="0"/>
    <n v="3300"/>
    <n v="462.00000000000006"/>
    <x v="0"/>
    <x v="14"/>
  </r>
  <r>
    <x v="1"/>
    <x v="0"/>
    <n v="6500"/>
    <n v="910.00000000000011"/>
    <x v="1"/>
    <x v="15"/>
  </r>
  <r>
    <x v="2"/>
    <x v="0"/>
    <n v="7200"/>
    <n v="1008.0000000000001"/>
    <x v="2"/>
    <x v="16"/>
  </r>
  <r>
    <x v="3"/>
    <x v="0"/>
    <n v="8100"/>
    <n v="1134"/>
    <x v="3"/>
    <x v="17"/>
  </r>
  <r>
    <x v="4"/>
    <x v="0"/>
    <n v="41000"/>
    <n v="5740.0000000000009"/>
    <x v="4"/>
    <x v="18"/>
  </r>
  <r>
    <x v="5"/>
    <x v="0"/>
    <n v="600"/>
    <n v="84.000000000000014"/>
    <x v="5"/>
    <x v="19"/>
  </r>
  <r>
    <x v="6"/>
    <x v="0"/>
    <n v="4100"/>
    <n v="574"/>
    <x v="6"/>
    <x v="20"/>
  </r>
  <r>
    <x v="7"/>
    <x v="0"/>
    <n v="8000"/>
    <n v="1120"/>
    <x v="7"/>
    <x v="21"/>
  </r>
  <r>
    <x v="8"/>
    <x v="0"/>
    <n v="9200"/>
    <n v="1288.0000000000002"/>
    <x v="8"/>
    <x v="22"/>
  </r>
  <r>
    <x v="9"/>
    <x v="0"/>
    <n v="81000"/>
    <n v="11340.000000000002"/>
    <x v="9"/>
    <x v="23"/>
  </r>
  <r>
    <x v="10"/>
    <x v="0"/>
    <n v="6200"/>
    <n v="868.00000000000011"/>
    <x v="10"/>
    <x v="24"/>
  </r>
  <r>
    <x v="11"/>
    <x v="0"/>
    <n v="6700"/>
    <n v="938.00000000000011"/>
    <x v="11"/>
    <x v="25"/>
  </r>
  <r>
    <x v="12"/>
    <x v="0"/>
    <n v="800"/>
    <n v="112.00000000000001"/>
    <x v="12"/>
    <x v="26"/>
  </r>
  <r>
    <x v="13"/>
    <x v="0"/>
    <n v="5500"/>
    <n v="770.00000000000011"/>
    <x v="13"/>
    <x v="27"/>
  </r>
  <r>
    <x v="0"/>
    <x v="0"/>
    <n v="5800"/>
    <n v="812.00000000000011"/>
    <x v="0"/>
    <x v="28"/>
  </r>
  <r>
    <x v="1"/>
    <x v="0"/>
    <n v="1100"/>
    <n v="154.00000000000003"/>
    <x v="1"/>
    <x v="29"/>
  </r>
  <r>
    <x v="2"/>
    <x v="0"/>
    <n v="8700"/>
    <n v="1218.0000000000002"/>
    <x v="2"/>
    <x v="30"/>
  </r>
  <r>
    <x v="3"/>
    <x v="0"/>
    <n v="9500"/>
    <n v="1330.0000000000002"/>
    <x v="3"/>
    <x v="31"/>
  </r>
  <r>
    <x v="4"/>
    <x v="0"/>
    <n v="6300"/>
    <n v="882.00000000000011"/>
    <x v="4"/>
    <x v="32"/>
  </r>
  <r>
    <x v="5"/>
    <x v="0"/>
    <n v="3500"/>
    <n v="490.00000000000006"/>
    <x v="5"/>
    <x v="33"/>
  </r>
  <r>
    <x v="6"/>
    <x v="0"/>
    <n v="3900"/>
    <n v="546"/>
    <x v="6"/>
    <x v="34"/>
  </r>
  <r>
    <x v="7"/>
    <x v="0"/>
    <n v="4600"/>
    <n v="644.00000000000011"/>
    <x v="7"/>
    <x v="35"/>
  </r>
  <r>
    <x v="8"/>
    <x v="0"/>
    <n v="43000"/>
    <n v="6020.0000000000009"/>
    <x v="8"/>
    <x v="36"/>
  </r>
  <r>
    <x v="9"/>
    <x v="0"/>
    <n v="10000"/>
    <n v="1400.0000000000002"/>
    <x v="9"/>
    <x v="37"/>
  </r>
  <r>
    <x v="10"/>
    <x v="0"/>
    <n v="24000"/>
    <n v="3360.0000000000005"/>
    <x v="10"/>
    <x v="38"/>
  </r>
  <r>
    <x v="11"/>
    <x v="0"/>
    <n v="51000"/>
    <n v="7140.0000000000009"/>
    <x v="11"/>
    <x v="39"/>
  </r>
  <r>
    <x v="12"/>
    <x v="0"/>
    <n v="85000"/>
    <n v="11900.000000000002"/>
    <x v="12"/>
    <x v="40"/>
  </r>
  <r>
    <x v="13"/>
    <x v="0"/>
    <n v="59000"/>
    <n v="8260"/>
    <x v="13"/>
    <x v="41"/>
  </r>
  <r>
    <x v="0"/>
    <x v="0"/>
    <n v="72000"/>
    <n v="10080.000000000002"/>
    <x v="0"/>
    <x v="42"/>
  </r>
  <r>
    <x v="1"/>
    <x v="0"/>
    <n v="86000"/>
    <n v="12040.000000000002"/>
    <x v="1"/>
    <x v="43"/>
  </r>
  <r>
    <x v="2"/>
    <x v="0"/>
    <n v="52000"/>
    <n v="7280.0000000000009"/>
    <x v="2"/>
    <x v="44"/>
  </r>
  <r>
    <x v="3"/>
    <x v="0"/>
    <n v="36000"/>
    <n v="5040.0000000000009"/>
    <x v="3"/>
    <x v="45"/>
  </r>
  <r>
    <x v="4"/>
    <x v="0"/>
    <n v="12000"/>
    <n v="1680.0000000000002"/>
    <x v="4"/>
    <x v="46"/>
  </r>
  <r>
    <x v="5"/>
    <x v="0"/>
    <n v="42000"/>
    <n v="5880.0000000000009"/>
    <x v="5"/>
    <x v="47"/>
  </r>
  <r>
    <x v="6"/>
    <x v="0"/>
    <n v="46000"/>
    <n v="6440.0000000000009"/>
    <x v="6"/>
    <x v="48"/>
  </r>
  <r>
    <x v="7"/>
    <x v="0"/>
    <n v="22000"/>
    <n v="3080.0000000000005"/>
    <x v="7"/>
    <x v="49"/>
  </r>
  <r>
    <x v="8"/>
    <x v="0"/>
    <n v="32000"/>
    <n v="4480"/>
    <x v="8"/>
    <x v="50"/>
  </r>
  <r>
    <x v="9"/>
    <x v="0"/>
    <n v="15000"/>
    <n v="2100"/>
    <x v="9"/>
    <x v="51"/>
  </r>
  <r>
    <x v="10"/>
    <x v="0"/>
    <n v="95000"/>
    <n v="13300.000000000002"/>
    <x v="10"/>
    <x v="52"/>
  </r>
  <r>
    <x v="11"/>
    <x v="0"/>
    <n v="68000"/>
    <n v="9520"/>
    <x v="11"/>
    <x v="53"/>
  </r>
  <r>
    <x v="12"/>
    <x v="0"/>
    <n v="74000"/>
    <n v="10360.000000000002"/>
    <x v="12"/>
    <x v="54"/>
  </r>
  <r>
    <x v="13"/>
    <x v="0"/>
    <n v="81000"/>
    <n v="11340.000000000002"/>
    <x v="13"/>
    <x v="55"/>
  </r>
  <r>
    <x v="0"/>
    <x v="0"/>
    <n v="63000"/>
    <n v="8820"/>
    <x v="0"/>
    <x v="56"/>
  </r>
  <r>
    <x v="1"/>
    <x v="0"/>
    <n v="76000"/>
    <n v="10640.000000000002"/>
    <x v="1"/>
    <x v="57"/>
  </r>
  <r>
    <x v="2"/>
    <x v="0"/>
    <n v="89000"/>
    <n v="12460.000000000002"/>
    <x v="2"/>
    <x v="58"/>
  </r>
  <r>
    <x v="3"/>
    <x v="0"/>
    <n v="25000"/>
    <n v="3500.0000000000005"/>
    <x v="3"/>
    <x v="59"/>
  </r>
  <r>
    <x v="4"/>
    <x v="1"/>
    <n v="23000"/>
    <n v="3220.0000000000005"/>
    <x v="4"/>
    <x v="60"/>
  </r>
  <r>
    <x v="5"/>
    <x v="1"/>
    <n v="32100"/>
    <n v="4494"/>
    <x v="5"/>
    <x v="61"/>
  </r>
  <r>
    <x v="6"/>
    <x v="1"/>
    <n v="26400"/>
    <n v="3696.0000000000005"/>
    <x v="6"/>
    <x v="62"/>
  </r>
  <r>
    <x v="7"/>
    <x v="1"/>
    <n v="21800"/>
    <n v="3052.0000000000005"/>
    <x v="7"/>
    <x v="63"/>
  </r>
  <r>
    <x v="8"/>
    <x v="1"/>
    <n v="56200"/>
    <n v="7868.0000000000009"/>
    <x v="8"/>
    <x v="64"/>
  </r>
  <r>
    <x v="9"/>
    <x v="1"/>
    <n v="52000"/>
    <n v="7280.0000000000009"/>
    <x v="9"/>
    <x v="65"/>
  </r>
  <r>
    <x v="10"/>
    <x v="1"/>
    <n v="23900"/>
    <n v="3346.0000000000005"/>
    <x v="10"/>
    <x v="66"/>
  </r>
  <r>
    <x v="11"/>
    <x v="1"/>
    <n v="27500"/>
    <n v="3850.0000000000005"/>
    <x v="11"/>
    <x v="67"/>
  </r>
  <r>
    <x v="12"/>
    <x v="0"/>
    <n v="28600"/>
    <n v="4004.0000000000005"/>
    <x v="12"/>
    <x v="68"/>
  </r>
  <r>
    <x v="13"/>
    <x v="1"/>
    <n v="32500"/>
    <n v="4550"/>
    <x v="13"/>
    <x v="69"/>
  </r>
  <r>
    <x v="0"/>
    <x v="0"/>
    <n v="12500"/>
    <n v="1750.0000000000002"/>
    <x v="0"/>
    <x v="70"/>
  </r>
  <r>
    <x v="1"/>
    <x v="1"/>
    <n v="62000"/>
    <n v="8680"/>
    <x v="1"/>
    <x v="71"/>
  </r>
  <r>
    <x v="2"/>
    <x v="0"/>
    <n v="84600"/>
    <n v="11844.000000000002"/>
    <x v="2"/>
    <x v="72"/>
  </r>
  <r>
    <x v="3"/>
    <x v="1"/>
    <n v="59300"/>
    <n v="8302"/>
    <x v="3"/>
    <x v="73"/>
  </r>
  <r>
    <x v="4"/>
    <x v="1"/>
    <n v="42700"/>
    <n v="5978.0000000000009"/>
    <x v="4"/>
    <x v="74"/>
  </r>
  <r>
    <x v="5"/>
    <x v="0"/>
    <n v="36900"/>
    <n v="5166.0000000000009"/>
    <x v="5"/>
    <x v="75"/>
  </r>
  <r>
    <x v="6"/>
    <x v="0"/>
    <n v="29800"/>
    <n v="4172"/>
    <x v="6"/>
    <x v="76"/>
  </r>
  <r>
    <x v="7"/>
    <x v="1"/>
    <n v="55200"/>
    <n v="7728.0000000000009"/>
    <x v="7"/>
    <x v="77"/>
  </r>
  <r>
    <x v="8"/>
    <x v="2"/>
    <n v="48100"/>
    <n v="6734.0000000000009"/>
    <x v="8"/>
    <x v="78"/>
  </r>
  <r>
    <x v="9"/>
    <x v="2"/>
    <n v="56400"/>
    <n v="7896.0000000000009"/>
    <x v="9"/>
    <x v="79"/>
  </r>
  <r>
    <x v="10"/>
    <x v="0"/>
    <n v="23900"/>
    <n v="3346.0000000000005"/>
    <x v="10"/>
    <x v="80"/>
  </r>
  <r>
    <x v="11"/>
    <x v="0"/>
    <n v="23800"/>
    <n v="3332.0000000000005"/>
    <x v="11"/>
    <x v="81"/>
  </r>
  <r>
    <x v="12"/>
    <x v="0"/>
    <n v="14700"/>
    <n v="2058"/>
    <x v="12"/>
    <x v="82"/>
  </r>
  <r>
    <x v="13"/>
    <x v="0"/>
    <n v="86200"/>
    <n v="12068.000000000002"/>
    <x v="13"/>
    <x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4BF71-F965-4EED-91B2-2B5953FB7250}" name="Pivot-Main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Data">
  <location ref="I3:K298" firstHeaderRow="0" firstDataRow="1" firstDataCol="1"/>
  <pivotFields count="8">
    <pivotField axis="axisRow" showAll="0">
      <items count="15">
        <item x="0"/>
        <item x="9"/>
        <item x="7"/>
        <item x="3"/>
        <item x="1"/>
        <item x="8"/>
        <item x="12"/>
        <item x="5"/>
        <item x="4"/>
        <item x="10"/>
        <item x="2"/>
        <item x="13"/>
        <item x="6"/>
        <item x="1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numFmtId="164" showAll="0"/>
    <pivotField dataField="1" showAll="0"/>
    <pivotField axis="axisRow" showAll="0">
      <items count="15">
        <item x="2"/>
        <item x="11"/>
        <item x="6"/>
        <item x="1"/>
        <item x="10"/>
        <item x="0"/>
        <item x="12"/>
        <item x="8"/>
        <item x="9"/>
        <item x="7"/>
        <item x="4"/>
        <item x="13"/>
        <item x="5"/>
        <item x="3"/>
        <item t="default"/>
      </items>
    </pivotField>
    <pivotField axis="axisRow" numFmtId="14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x="6"/>
        <item x="7"/>
        <item x="8"/>
        <item x="9"/>
        <item sd="0" x="10"/>
        <item sd="0" x="11"/>
        <item sd="0" x="12"/>
        <item sd="0" x="13"/>
        <item t="default"/>
      </items>
    </pivotField>
  </pivotFields>
  <rowFields count="6">
    <field x="0"/>
    <field x="1"/>
    <field x="5"/>
    <field x="7"/>
    <field x="6"/>
    <field x="4"/>
  </rowFields>
  <rowItems count="295">
    <i>
      <x/>
    </i>
    <i r="1">
      <x/>
    </i>
    <i r="2">
      <x/>
    </i>
    <i r="3">
      <x v="6"/>
    </i>
    <i r="4">
      <x v="166"/>
    </i>
    <i r="2">
      <x v="14"/>
    </i>
    <i r="3">
      <x v="6"/>
    </i>
    <i r="4">
      <x v="180"/>
    </i>
    <i r="2">
      <x v="28"/>
    </i>
    <i r="3">
      <x v="7"/>
    </i>
    <i r="4">
      <x v="194"/>
    </i>
    <i r="2">
      <x v="42"/>
    </i>
    <i r="3">
      <x v="7"/>
    </i>
    <i r="4">
      <x v="208"/>
    </i>
    <i r="2">
      <x v="56"/>
    </i>
    <i r="3">
      <x v="8"/>
    </i>
    <i r="4">
      <x v="222"/>
    </i>
    <i r="2">
      <x v="70"/>
    </i>
    <i r="3">
      <x v="8"/>
    </i>
    <i r="4">
      <x v="236"/>
    </i>
    <i>
      <x v="1"/>
    </i>
    <i r="1">
      <x/>
    </i>
    <i r="2">
      <x v="9"/>
    </i>
    <i r="3">
      <x v="6"/>
    </i>
    <i r="4">
      <x v="175"/>
    </i>
    <i r="2">
      <x v="23"/>
    </i>
    <i r="3">
      <x v="7"/>
    </i>
    <i r="4">
      <x v="189"/>
    </i>
    <i r="2">
      <x v="37"/>
    </i>
    <i r="3">
      <x v="7"/>
    </i>
    <i r="4">
      <x v="203"/>
    </i>
    <i r="2">
      <x v="51"/>
    </i>
    <i r="3">
      <x v="8"/>
    </i>
    <i r="4">
      <x v="217"/>
    </i>
    <i r="1">
      <x v="1"/>
    </i>
    <i r="2">
      <x v="79"/>
    </i>
    <i r="3">
      <x v="9"/>
    </i>
    <i r="4">
      <x v="245"/>
    </i>
    <i r="1">
      <x v="2"/>
    </i>
    <i r="2">
      <x v="65"/>
    </i>
    <i r="3">
      <x v="8"/>
    </i>
    <i r="4">
      <x v="231"/>
    </i>
    <i>
      <x v="2"/>
    </i>
    <i r="1">
      <x/>
    </i>
    <i r="2">
      <x v="7"/>
    </i>
    <i r="3">
      <x v="6"/>
    </i>
    <i r="4">
      <x v="173"/>
    </i>
    <i r="2">
      <x v="21"/>
    </i>
    <i r="3">
      <x v="7"/>
    </i>
    <i r="4">
      <x v="187"/>
    </i>
    <i r="2">
      <x v="35"/>
    </i>
    <i r="3">
      <x v="7"/>
    </i>
    <i r="4">
      <x v="201"/>
    </i>
    <i r="2">
      <x v="49"/>
    </i>
    <i r="3">
      <x v="8"/>
    </i>
    <i r="4">
      <x v="215"/>
    </i>
    <i r="1">
      <x v="2"/>
    </i>
    <i r="2">
      <x v="63"/>
    </i>
    <i r="3">
      <x v="8"/>
    </i>
    <i r="4">
      <x v="229"/>
    </i>
    <i r="2">
      <x v="77"/>
    </i>
    <i r="3">
      <x v="8"/>
    </i>
    <i r="4">
      <x v="243"/>
    </i>
    <i>
      <x v="3"/>
    </i>
    <i r="1">
      <x/>
    </i>
    <i r="2">
      <x v="3"/>
    </i>
    <i r="3">
      <x v="6"/>
    </i>
    <i r="4">
      <x v="169"/>
    </i>
    <i r="2">
      <x v="17"/>
    </i>
    <i r="3">
      <x v="7"/>
    </i>
    <i r="4">
      <x v="183"/>
    </i>
    <i r="2">
      <x v="31"/>
    </i>
    <i r="3">
      <x v="7"/>
    </i>
    <i r="4">
      <x v="197"/>
    </i>
    <i r="2">
      <x v="45"/>
    </i>
    <i r="3">
      <x v="7"/>
    </i>
    <i r="4">
      <x v="211"/>
    </i>
    <i r="2">
      <x v="59"/>
    </i>
    <i r="3">
      <x v="8"/>
    </i>
    <i r="4">
      <x v="225"/>
    </i>
    <i r="1">
      <x v="2"/>
    </i>
    <i r="2">
      <x v="73"/>
    </i>
    <i r="3">
      <x v="8"/>
    </i>
    <i r="4">
      <x v="239"/>
    </i>
    <i>
      <x v="4"/>
    </i>
    <i r="1">
      <x/>
    </i>
    <i r="2">
      <x v="1"/>
    </i>
    <i r="3">
      <x v="6"/>
    </i>
    <i r="4">
      <x v="167"/>
    </i>
    <i r="2">
      <x v="15"/>
    </i>
    <i r="3">
      <x v="6"/>
    </i>
    <i r="4">
      <x v="181"/>
    </i>
    <i r="2">
      <x v="29"/>
    </i>
    <i r="3">
      <x v="7"/>
    </i>
    <i r="4">
      <x v="195"/>
    </i>
    <i r="2">
      <x v="43"/>
    </i>
    <i r="3">
      <x v="7"/>
    </i>
    <i r="4">
      <x v="209"/>
    </i>
    <i r="2">
      <x v="57"/>
    </i>
    <i r="3">
      <x v="8"/>
    </i>
    <i r="4">
      <x v="223"/>
    </i>
    <i r="1">
      <x v="2"/>
    </i>
    <i r="2">
      <x v="71"/>
    </i>
    <i r="3">
      <x v="8"/>
    </i>
    <i r="4">
      <x v="237"/>
    </i>
    <i>
      <x v="5"/>
    </i>
    <i r="1">
      <x/>
    </i>
    <i r="2">
      <x v="8"/>
    </i>
    <i r="3">
      <x v="6"/>
    </i>
    <i r="4">
      <x v="174"/>
    </i>
    <i r="2">
      <x v="22"/>
    </i>
    <i r="3">
      <x v="7"/>
    </i>
    <i r="4">
      <x v="188"/>
    </i>
    <i r="2">
      <x v="36"/>
    </i>
    <i r="3">
      <x v="7"/>
    </i>
    <i r="4">
      <x v="202"/>
    </i>
    <i r="2">
      <x v="50"/>
    </i>
    <i r="3">
      <x v="8"/>
    </i>
    <i r="4">
      <x v="216"/>
    </i>
    <i r="1">
      <x v="1"/>
    </i>
    <i r="2">
      <x v="78"/>
    </i>
    <i r="3">
      <x v="8"/>
    </i>
    <i r="4">
      <x v="244"/>
    </i>
    <i r="1">
      <x v="2"/>
    </i>
    <i r="2">
      <x v="64"/>
    </i>
    <i r="3">
      <x v="8"/>
    </i>
    <i r="4">
      <x v="230"/>
    </i>
    <i>
      <x v="6"/>
    </i>
    <i r="1">
      <x/>
    </i>
    <i r="2">
      <x v="12"/>
    </i>
    <i r="3">
      <x v="6"/>
    </i>
    <i r="4">
      <x v="178"/>
    </i>
    <i r="2">
      <x v="26"/>
    </i>
    <i r="3">
      <x v="7"/>
    </i>
    <i r="4">
      <x v="192"/>
    </i>
    <i r="2">
      <x v="40"/>
    </i>
    <i r="3">
      <x v="7"/>
    </i>
    <i r="4">
      <x v="206"/>
    </i>
    <i r="2">
      <x v="54"/>
    </i>
    <i r="3">
      <x v="8"/>
    </i>
    <i r="4">
      <x v="220"/>
    </i>
    <i r="2">
      <x v="68"/>
    </i>
    <i r="3">
      <x v="8"/>
    </i>
    <i r="4">
      <x v="234"/>
    </i>
    <i r="2">
      <x v="82"/>
    </i>
    <i r="3">
      <x v="9"/>
    </i>
    <i r="4">
      <x v="248"/>
    </i>
    <i>
      <x v="7"/>
    </i>
    <i r="1">
      <x/>
    </i>
    <i r="2">
      <x v="5"/>
    </i>
    <i r="3">
      <x v="6"/>
    </i>
    <i r="4">
      <x v="171"/>
    </i>
    <i r="2">
      <x v="19"/>
    </i>
    <i r="3">
      <x v="7"/>
    </i>
    <i r="4">
      <x v="185"/>
    </i>
    <i r="2">
      <x v="33"/>
    </i>
    <i r="3">
      <x v="7"/>
    </i>
    <i r="4">
      <x v="199"/>
    </i>
    <i r="2">
      <x v="47"/>
    </i>
    <i r="3">
      <x v="7"/>
    </i>
    <i r="4">
      <x v="213"/>
    </i>
    <i r="5">
      <x v="12"/>
    </i>
    <i r="2">
      <x v="75"/>
    </i>
    <i r="3">
      <x v="8"/>
    </i>
    <i r="4">
      <x v="241"/>
    </i>
    <i r="1">
      <x v="2"/>
    </i>
    <i r="2">
      <x v="61"/>
    </i>
    <i r="3">
      <x v="8"/>
    </i>
    <i r="4">
      <x v="227"/>
    </i>
    <i>
      <x v="8"/>
    </i>
    <i r="1">
      <x/>
    </i>
    <i r="2">
      <x v="4"/>
    </i>
    <i r="3">
      <x v="6"/>
    </i>
    <i r="4">
      <x v="170"/>
    </i>
    <i r="2">
      <x v="18"/>
    </i>
    <i r="3">
      <x v="7"/>
    </i>
    <i r="4">
      <x v="184"/>
    </i>
    <i r="2">
      <x v="32"/>
    </i>
    <i r="3">
      <x v="7"/>
    </i>
    <i r="4">
      <x v="198"/>
    </i>
    <i r="2">
      <x v="46"/>
    </i>
    <i r="3">
      <x v="7"/>
    </i>
    <i r="4">
      <x v="212"/>
    </i>
    <i r="1">
      <x v="2"/>
    </i>
    <i r="2">
      <x v="60"/>
    </i>
    <i r="3">
      <x v="8"/>
    </i>
    <i r="4">
      <x v="226"/>
    </i>
    <i r="2">
      <x v="74"/>
    </i>
    <i r="3">
      <x v="8"/>
    </i>
    <i r="4">
      <x v="240"/>
    </i>
    <i>
      <x v="9"/>
    </i>
    <i r="1">
      <x/>
    </i>
    <i r="2">
      <x v="10"/>
    </i>
    <i r="3">
      <x v="6"/>
    </i>
    <i r="4">
      <x v="176"/>
    </i>
    <i r="2">
      <x v="24"/>
    </i>
    <i r="3">
      <x v="7"/>
    </i>
    <i r="4">
      <x v="190"/>
    </i>
    <i r="2">
      <x v="38"/>
    </i>
    <i r="3">
      <x v="7"/>
    </i>
    <i r="4">
      <x v="204"/>
    </i>
    <i r="2">
      <x v="52"/>
    </i>
    <i r="3">
      <x v="8"/>
    </i>
    <i r="4">
      <x v="218"/>
    </i>
    <i r="2">
      <x v="80"/>
    </i>
    <i r="3">
      <x v="9"/>
    </i>
    <i r="4">
      <x v="246"/>
    </i>
    <i r="1">
      <x v="2"/>
    </i>
    <i r="2">
      <x v="66"/>
    </i>
    <i r="3">
      <x v="8"/>
    </i>
    <i r="4">
      <x v="232"/>
    </i>
    <i>
      <x v="10"/>
    </i>
    <i r="1">
      <x/>
    </i>
    <i r="2">
      <x v="2"/>
    </i>
    <i r="3">
      <x v="6"/>
    </i>
    <i r="4">
      <x v="168"/>
    </i>
    <i r="2">
      <x v="16"/>
    </i>
    <i r="3">
      <x v="6"/>
    </i>
    <i r="4">
      <x v="182"/>
    </i>
    <i r="2">
      <x v="30"/>
    </i>
    <i r="3">
      <x v="7"/>
    </i>
    <i r="4">
      <x v="196"/>
    </i>
    <i r="2">
      <x v="44"/>
    </i>
    <i r="3">
      <x v="7"/>
    </i>
    <i r="4">
      <x v="210"/>
    </i>
    <i r="2">
      <x v="58"/>
    </i>
    <i r="3">
      <x v="8"/>
    </i>
    <i r="4">
      <x v="224"/>
    </i>
    <i r="2">
      <x v="72"/>
    </i>
    <i r="3">
      <x v="8"/>
    </i>
    <i r="4">
      <x v="238"/>
    </i>
    <i>
      <x v="11"/>
    </i>
    <i r="1">
      <x/>
    </i>
    <i r="2">
      <x v="13"/>
    </i>
    <i r="3">
      <x v="6"/>
    </i>
    <i r="4">
      <x v="179"/>
    </i>
    <i r="2">
      <x v="27"/>
    </i>
    <i r="3">
      <x v="7"/>
    </i>
    <i r="4">
      <x v="193"/>
    </i>
    <i r="2">
      <x v="41"/>
    </i>
    <i r="3">
      <x v="7"/>
    </i>
    <i r="4">
      <x v="207"/>
    </i>
    <i r="2">
      <x v="55"/>
    </i>
    <i r="3">
      <x v="8"/>
    </i>
    <i r="4">
      <x v="221"/>
    </i>
    <i r="2">
      <x v="83"/>
    </i>
    <i r="3">
      <x v="9"/>
    </i>
    <i r="4">
      <x v="249"/>
    </i>
    <i r="1">
      <x v="2"/>
    </i>
    <i r="2">
      <x v="69"/>
    </i>
    <i r="3">
      <x v="8"/>
    </i>
    <i r="4">
      <x v="235"/>
    </i>
    <i>
      <x v="12"/>
    </i>
    <i r="1">
      <x/>
    </i>
    <i r="2">
      <x v="6"/>
    </i>
    <i r="3">
      <x v="6"/>
    </i>
    <i r="4">
      <x v="172"/>
    </i>
    <i r="2">
      <x v="20"/>
    </i>
    <i r="3">
      <x v="7"/>
    </i>
    <i r="4">
      <x v="186"/>
    </i>
    <i r="2">
      <x v="34"/>
    </i>
    <i r="3">
      <x v="7"/>
    </i>
    <i r="4">
      <x v="200"/>
    </i>
    <i r="2">
      <x v="48"/>
    </i>
    <i r="3">
      <x v="8"/>
    </i>
    <i r="4">
      <x v="214"/>
    </i>
    <i r="2">
      <x v="76"/>
    </i>
    <i r="3">
      <x v="8"/>
    </i>
    <i r="4">
      <x v="242"/>
    </i>
    <i r="1">
      <x v="2"/>
    </i>
    <i r="2">
      <x v="62"/>
    </i>
    <i r="3">
      <x v="8"/>
    </i>
    <i r="4">
      <x v="228"/>
    </i>
    <i>
      <x v="13"/>
    </i>
    <i r="1">
      <x/>
    </i>
    <i r="2">
      <x v="11"/>
    </i>
    <i r="3">
      <x v="6"/>
    </i>
    <i r="4">
      <x v="177"/>
    </i>
    <i r="2">
      <x v="25"/>
    </i>
    <i r="3">
      <x v="7"/>
    </i>
    <i r="4">
      <x v="191"/>
    </i>
    <i r="2">
      <x v="39"/>
    </i>
    <i r="3">
      <x v="7"/>
    </i>
    <i r="4">
      <x v="205"/>
    </i>
    <i r="2">
      <x v="53"/>
    </i>
    <i r="3">
      <x v="8"/>
    </i>
    <i r="4">
      <x v="219"/>
    </i>
    <i r="2">
      <x v="81"/>
    </i>
    <i r="3">
      <x v="9"/>
    </i>
    <i r="4">
      <x v="247"/>
    </i>
    <i r="1">
      <x v="2"/>
    </i>
    <i r="2">
      <x v="67"/>
    </i>
    <i r="3">
      <x v="8"/>
    </i>
    <i r="4">
      <x v="233"/>
    </i>
    <i t="grand">
      <x/>
    </i>
  </rowItems>
  <colFields count="1">
    <field x="-2"/>
  </colFields>
  <colItems count="2">
    <i>
      <x/>
    </i>
    <i i="1">
      <x v="1"/>
    </i>
  </colItems>
  <dataFields count="2">
    <dataField name=" Value" fld="2" baseField="0" baseItem="0"/>
    <dataField name=" Tax" fld="3" baseField="0" baseItem="0"/>
  </dataFields>
  <formats count="652">
    <format dxfId="665">
      <pivotArea type="all" dataOnly="0" outline="0" fieldPosition="0"/>
    </format>
    <format dxfId="664">
      <pivotArea outline="0" collapsedLevelsAreSubtotals="1" fieldPosition="0"/>
    </format>
    <format dxfId="663">
      <pivotArea field="0" type="button" dataOnly="0" labelOnly="1" outline="0" axis="axisRow" fieldPosition="0"/>
    </format>
    <format dxfId="662">
      <pivotArea dataOnly="0" labelOnly="1" fieldPosition="0">
        <references count="1">
          <reference field="0" count="0"/>
        </references>
      </pivotArea>
    </format>
    <format dxfId="661">
      <pivotArea dataOnly="0" labelOnly="1" grandRow="1" outline="0" fieldPosition="0"/>
    </format>
    <format dxfId="660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659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658">
      <pivotArea dataOnly="0" labelOnly="1" fieldPosition="0">
        <references count="2">
          <reference field="0" count="1" selected="0">
            <x v="2"/>
          </reference>
          <reference field="1" count="2">
            <x v="0"/>
            <x v="2"/>
          </reference>
        </references>
      </pivotArea>
    </format>
    <format dxfId="657">
      <pivotArea dataOnly="0" labelOnly="1" fieldPosition="0">
        <references count="2">
          <reference field="0" count="1" selected="0">
            <x v="3"/>
          </reference>
          <reference field="1" count="2">
            <x v="0"/>
            <x v="2"/>
          </reference>
        </references>
      </pivotArea>
    </format>
    <format dxfId="656">
      <pivotArea dataOnly="0" labelOnly="1" fieldPosition="0">
        <references count="2">
          <reference field="0" count="1" selected="0">
            <x v="4"/>
          </reference>
          <reference field="1" count="2">
            <x v="0"/>
            <x v="2"/>
          </reference>
        </references>
      </pivotArea>
    </format>
    <format dxfId="655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654">
      <pivotArea dataOnly="0" labelOnly="1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653">
      <pivotArea dataOnly="0" labelOnly="1" fieldPosition="0">
        <references count="2">
          <reference field="0" count="1" selected="0">
            <x v="7"/>
          </reference>
          <reference field="1" count="2">
            <x v="0"/>
            <x v="2"/>
          </reference>
        </references>
      </pivotArea>
    </format>
    <format dxfId="652">
      <pivotArea dataOnly="0" labelOnly="1" fieldPosition="0">
        <references count="2">
          <reference field="0" count="1" selected="0">
            <x v="8"/>
          </reference>
          <reference field="1" count="2">
            <x v="0"/>
            <x v="2"/>
          </reference>
        </references>
      </pivotArea>
    </format>
    <format dxfId="651">
      <pivotArea dataOnly="0" labelOnly="1" fieldPosition="0">
        <references count="2">
          <reference field="0" count="1" selected="0">
            <x v="9"/>
          </reference>
          <reference field="1" count="2">
            <x v="0"/>
            <x v="2"/>
          </reference>
        </references>
      </pivotArea>
    </format>
    <format dxfId="650">
      <pivotArea dataOnly="0" labelOnly="1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649">
      <pivotArea dataOnly="0" labelOnly="1" fieldPosition="0">
        <references count="2">
          <reference field="0" count="1" selected="0">
            <x v="11"/>
          </reference>
          <reference field="1" count="2">
            <x v="0"/>
            <x v="2"/>
          </reference>
        </references>
      </pivotArea>
    </format>
    <format dxfId="648">
      <pivotArea dataOnly="0" labelOnly="1" fieldPosition="0">
        <references count="2">
          <reference field="0" count="1" selected="0">
            <x v="12"/>
          </reference>
          <reference field="1" count="2">
            <x v="0"/>
            <x v="2"/>
          </reference>
        </references>
      </pivotArea>
    </format>
    <format dxfId="647">
      <pivotArea dataOnly="0" labelOnly="1" fieldPosition="0">
        <references count="2">
          <reference field="0" count="1" selected="0">
            <x v="13"/>
          </reference>
          <reference field="1" count="2">
            <x v="0"/>
            <x v="2"/>
          </reference>
        </references>
      </pivotArea>
    </format>
    <format dxfId="646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5" count="6">
            <x v="0"/>
            <x v="14"/>
            <x v="28"/>
            <x v="42"/>
            <x v="56"/>
            <x v="70"/>
          </reference>
        </references>
      </pivotArea>
    </format>
    <format dxfId="645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5" count="4">
            <x v="9"/>
            <x v="23"/>
            <x v="37"/>
            <x v="51"/>
          </reference>
        </references>
      </pivotArea>
    </format>
    <format dxfId="644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5" count="1">
            <x v="79"/>
          </reference>
        </references>
      </pivotArea>
    </format>
    <format dxfId="643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5" count="1">
            <x v="65"/>
          </reference>
        </references>
      </pivotArea>
    </format>
    <format dxfId="642">
      <pivotArea dataOnly="0" labelOnly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5" count="4">
            <x v="7"/>
            <x v="21"/>
            <x v="35"/>
            <x v="49"/>
          </reference>
        </references>
      </pivotArea>
    </format>
    <format dxfId="641">
      <pivotArea dataOnly="0" labelOnly="1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5" count="2">
            <x v="63"/>
            <x v="77"/>
          </reference>
        </references>
      </pivotArea>
    </format>
    <format dxfId="640">
      <pivotArea dataOnly="0" labelOnly="1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5" count="5">
            <x v="3"/>
            <x v="17"/>
            <x v="31"/>
            <x v="45"/>
            <x v="59"/>
          </reference>
        </references>
      </pivotArea>
    </format>
    <format dxfId="639">
      <pivotArea dataOnly="0" labelOnly="1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5" count="1">
            <x v="73"/>
          </reference>
        </references>
      </pivotArea>
    </format>
    <format dxfId="638">
      <pivotArea dataOnly="0" labelOnly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5" count="5">
            <x v="1"/>
            <x v="15"/>
            <x v="29"/>
            <x v="43"/>
            <x v="57"/>
          </reference>
        </references>
      </pivotArea>
    </format>
    <format dxfId="637">
      <pivotArea dataOnly="0" labelOnly="1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5" count="1">
            <x v="71"/>
          </reference>
        </references>
      </pivotArea>
    </format>
    <format dxfId="636">
      <pivotArea dataOnly="0" labelOnly="1" fieldPosition="0">
        <references count="3">
          <reference field="0" count="1" selected="0">
            <x v="5"/>
          </reference>
          <reference field="1" count="1" selected="0">
            <x v="0"/>
          </reference>
          <reference field="5" count="4">
            <x v="8"/>
            <x v="22"/>
            <x v="36"/>
            <x v="50"/>
          </reference>
        </references>
      </pivotArea>
    </format>
    <format dxfId="635">
      <pivotArea dataOnly="0" labelOnly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5" count="1">
            <x v="78"/>
          </reference>
        </references>
      </pivotArea>
    </format>
    <format dxfId="634">
      <pivotArea dataOnly="0" labelOnly="1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5" count="1">
            <x v="64"/>
          </reference>
        </references>
      </pivotArea>
    </format>
    <format dxfId="633">
      <pivotArea dataOnly="0" labelOnly="1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5" count="6">
            <x v="12"/>
            <x v="26"/>
            <x v="40"/>
            <x v="54"/>
            <x v="68"/>
            <x v="82"/>
          </reference>
        </references>
      </pivotArea>
    </format>
    <format dxfId="632">
      <pivotArea dataOnly="0" labelOnly="1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5" count="5">
            <x v="5"/>
            <x v="19"/>
            <x v="33"/>
            <x v="47"/>
            <x v="75"/>
          </reference>
        </references>
      </pivotArea>
    </format>
    <format dxfId="631">
      <pivotArea dataOnly="0" labelOnly="1" fieldPosition="0">
        <references count="3">
          <reference field="0" count="1" selected="0">
            <x v="7"/>
          </reference>
          <reference field="1" count="1" selected="0">
            <x v="2"/>
          </reference>
          <reference field="5" count="1">
            <x v="61"/>
          </reference>
        </references>
      </pivotArea>
    </format>
    <format dxfId="630">
      <pivotArea dataOnly="0" labelOnly="1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5" count="4">
            <x v="4"/>
            <x v="18"/>
            <x v="32"/>
            <x v="46"/>
          </reference>
        </references>
      </pivotArea>
    </format>
    <format dxfId="629">
      <pivotArea dataOnly="0" labelOnly="1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5" count="2">
            <x v="60"/>
            <x v="74"/>
          </reference>
        </references>
      </pivotArea>
    </format>
    <format dxfId="628">
      <pivotArea dataOnly="0" labelOnly="1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5" count="5">
            <x v="10"/>
            <x v="24"/>
            <x v="38"/>
            <x v="52"/>
            <x v="80"/>
          </reference>
        </references>
      </pivotArea>
    </format>
    <format dxfId="627">
      <pivotArea dataOnly="0" labelOnly="1" fieldPosition="0">
        <references count="3">
          <reference field="0" count="1" selected="0">
            <x v="9"/>
          </reference>
          <reference field="1" count="1" selected="0">
            <x v="2"/>
          </reference>
          <reference field="5" count="1">
            <x v="66"/>
          </reference>
        </references>
      </pivotArea>
    </format>
    <format dxfId="626">
      <pivotArea dataOnly="0" labelOnly="1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5" count="6">
            <x v="2"/>
            <x v="16"/>
            <x v="30"/>
            <x v="44"/>
            <x v="58"/>
            <x v="72"/>
          </reference>
        </references>
      </pivotArea>
    </format>
    <format dxfId="625">
      <pivotArea dataOnly="0" labelOnly="1" fieldPosition="0">
        <references count="3">
          <reference field="0" count="1" selected="0">
            <x v="11"/>
          </reference>
          <reference field="1" count="1" selected="0">
            <x v="0"/>
          </reference>
          <reference field="5" count="5">
            <x v="13"/>
            <x v="27"/>
            <x v="41"/>
            <x v="55"/>
            <x v="83"/>
          </reference>
        </references>
      </pivotArea>
    </format>
    <format dxfId="624">
      <pivotArea dataOnly="0" labelOnly="1" fieldPosition="0">
        <references count="3">
          <reference field="0" count="1" selected="0">
            <x v="11"/>
          </reference>
          <reference field="1" count="1" selected="0">
            <x v="2"/>
          </reference>
          <reference field="5" count="1">
            <x v="69"/>
          </reference>
        </references>
      </pivotArea>
    </format>
    <format dxfId="623">
      <pivotArea dataOnly="0" labelOnly="1" fieldPosition="0">
        <references count="3">
          <reference field="0" count="1" selected="0">
            <x v="12"/>
          </reference>
          <reference field="1" count="1" selected="0">
            <x v="0"/>
          </reference>
          <reference field="5" count="5">
            <x v="6"/>
            <x v="20"/>
            <x v="34"/>
            <x v="48"/>
            <x v="76"/>
          </reference>
        </references>
      </pivotArea>
    </format>
    <format dxfId="622">
      <pivotArea dataOnly="0" labelOnly="1" fieldPosition="0">
        <references count="3">
          <reference field="0" count="1" selected="0">
            <x v="12"/>
          </reference>
          <reference field="1" count="1" selected="0">
            <x v="2"/>
          </reference>
          <reference field="5" count="1">
            <x v="62"/>
          </reference>
        </references>
      </pivotArea>
    </format>
    <format dxfId="621">
      <pivotArea dataOnly="0" labelOnly="1" fieldPosition="0">
        <references count="3">
          <reference field="0" count="1" selected="0">
            <x v="13"/>
          </reference>
          <reference field="1" count="1" selected="0">
            <x v="0"/>
          </reference>
          <reference field="5" count="5">
            <x v="11"/>
            <x v="25"/>
            <x v="39"/>
            <x v="53"/>
            <x v="81"/>
          </reference>
        </references>
      </pivotArea>
    </format>
    <format dxfId="620">
      <pivotArea dataOnly="0" labelOnly="1" fieldPosition="0">
        <references count="3">
          <reference field="0" count="1" selected="0">
            <x v="13"/>
          </reference>
          <reference field="1" count="1" selected="0">
            <x v="2"/>
          </reference>
          <reference field="5" count="1">
            <x v="67"/>
          </reference>
        </references>
      </pivotArea>
    </format>
    <format dxfId="619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  <reference field="7" count="1">
            <x v="6"/>
          </reference>
        </references>
      </pivotArea>
    </format>
    <format dxfId="618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14"/>
          </reference>
          <reference field="7" count="1">
            <x v="6"/>
          </reference>
        </references>
      </pivotArea>
    </format>
    <format dxfId="617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28"/>
          </reference>
          <reference field="7" count="1">
            <x v="7"/>
          </reference>
        </references>
      </pivotArea>
    </format>
    <format dxfId="616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42"/>
          </reference>
          <reference field="7" count="1">
            <x v="7"/>
          </reference>
        </references>
      </pivotArea>
    </format>
    <format dxfId="615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56"/>
          </reference>
          <reference field="7" count="1">
            <x v="8"/>
          </reference>
        </references>
      </pivotArea>
    </format>
    <format dxfId="614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70"/>
          </reference>
          <reference field="7" count="1">
            <x v="8"/>
          </reference>
        </references>
      </pivotArea>
    </format>
    <format dxfId="613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9"/>
          </reference>
          <reference field="7" count="1">
            <x v="6"/>
          </reference>
        </references>
      </pivotArea>
    </format>
    <format dxfId="612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23"/>
          </reference>
          <reference field="7" count="1">
            <x v="7"/>
          </reference>
        </references>
      </pivotArea>
    </format>
    <format dxfId="611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37"/>
          </reference>
          <reference field="7" count="1">
            <x v="7"/>
          </reference>
        </references>
      </pivotArea>
    </format>
    <format dxfId="610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51"/>
          </reference>
          <reference field="7" count="1">
            <x v="8"/>
          </reference>
        </references>
      </pivotArea>
    </format>
    <format dxfId="609">
      <pivotArea dataOnly="0" labelOnly="1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5" count="1" selected="0">
            <x v="79"/>
          </reference>
          <reference field="7" count="1">
            <x v="9"/>
          </reference>
        </references>
      </pivotArea>
    </format>
    <format dxfId="608">
      <pivotArea dataOnly="0" labelOnly="1" fieldPosition="0">
        <references count="4">
          <reference field="0" count="1" selected="0">
            <x v="1"/>
          </reference>
          <reference field="1" count="1" selected="0">
            <x v="2"/>
          </reference>
          <reference field="5" count="1" selected="0">
            <x v="65"/>
          </reference>
          <reference field="7" count="1">
            <x v="8"/>
          </reference>
        </references>
      </pivotArea>
    </format>
    <format dxfId="607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7"/>
          </reference>
          <reference field="7" count="1">
            <x v="6"/>
          </reference>
        </references>
      </pivotArea>
    </format>
    <format dxfId="606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21"/>
          </reference>
          <reference field="7" count="1">
            <x v="7"/>
          </reference>
        </references>
      </pivotArea>
    </format>
    <format dxfId="605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35"/>
          </reference>
          <reference field="7" count="1">
            <x v="7"/>
          </reference>
        </references>
      </pivotArea>
    </format>
    <format dxfId="604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49"/>
          </reference>
          <reference field="7" count="1">
            <x v="8"/>
          </reference>
        </references>
      </pivotArea>
    </format>
    <format dxfId="603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63"/>
          </reference>
          <reference field="7" count="1">
            <x v="8"/>
          </reference>
        </references>
      </pivotArea>
    </format>
    <format dxfId="602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77"/>
          </reference>
          <reference field="7" count="1">
            <x v="8"/>
          </reference>
        </references>
      </pivotArea>
    </format>
    <format dxfId="601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"/>
          </reference>
          <reference field="7" count="1">
            <x v="6"/>
          </reference>
        </references>
      </pivotArea>
    </format>
    <format dxfId="600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17"/>
          </reference>
          <reference field="7" count="1">
            <x v="7"/>
          </reference>
        </references>
      </pivotArea>
    </format>
    <format dxfId="599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1"/>
          </reference>
          <reference field="7" count="1">
            <x v="7"/>
          </reference>
        </references>
      </pivotArea>
    </format>
    <format dxfId="598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45"/>
          </reference>
          <reference field="7" count="1">
            <x v="7"/>
          </reference>
        </references>
      </pivotArea>
    </format>
    <format dxfId="597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59"/>
          </reference>
          <reference field="7" count="1">
            <x v="8"/>
          </reference>
        </references>
      </pivotArea>
    </format>
    <format dxfId="596">
      <pivotArea dataOnly="0" labelOnly="1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5" count="1" selected="0">
            <x v="73"/>
          </reference>
          <reference field="7" count="1">
            <x v="8"/>
          </reference>
        </references>
      </pivotArea>
    </format>
    <format dxfId="595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"/>
          </reference>
          <reference field="7" count="1">
            <x v="6"/>
          </reference>
        </references>
      </pivotArea>
    </format>
    <format dxfId="594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5"/>
          </reference>
          <reference field="7" count="1">
            <x v="6"/>
          </reference>
        </references>
      </pivotArea>
    </format>
    <format dxfId="593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29"/>
          </reference>
          <reference field="7" count="1">
            <x v="7"/>
          </reference>
        </references>
      </pivotArea>
    </format>
    <format dxfId="592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43"/>
          </reference>
          <reference field="7" count="1">
            <x v="7"/>
          </reference>
        </references>
      </pivotArea>
    </format>
    <format dxfId="591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57"/>
          </reference>
          <reference field="7" count="1">
            <x v="8"/>
          </reference>
        </references>
      </pivotArea>
    </format>
    <format dxfId="590">
      <pivotArea dataOnly="0" labelOnly="1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5" count="1" selected="0">
            <x v="71"/>
          </reference>
          <reference field="7" count="1">
            <x v="8"/>
          </reference>
        </references>
      </pivotArea>
    </format>
    <format dxfId="589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8"/>
          </reference>
          <reference field="7" count="1">
            <x v="6"/>
          </reference>
        </references>
      </pivotArea>
    </format>
    <format dxfId="588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22"/>
          </reference>
          <reference field="7" count="1">
            <x v="7"/>
          </reference>
        </references>
      </pivotArea>
    </format>
    <format dxfId="587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36"/>
          </reference>
          <reference field="7" count="1">
            <x v="7"/>
          </reference>
        </references>
      </pivotArea>
    </format>
    <format dxfId="586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50"/>
          </reference>
          <reference field="7" count="1">
            <x v="8"/>
          </reference>
        </references>
      </pivotArea>
    </format>
    <format dxfId="585">
      <pivotArea dataOnly="0" labelOnly="1" fieldPosition="0">
        <references count="4">
          <reference field="0" count="1" selected="0">
            <x v="5"/>
          </reference>
          <reference field="1" count="1" selected="0">
            <x v="1"/>
          </reference>
          <reference field="5" count="1" selected="0">
            <x v="78"/>
          </reference>
          <reference field="7" count="1">
            <x v="8"/>
          </reference>
        </references>
      </pivotArea>
    </format>
    <format dxfId="584">
      <pivotArea dataOnly="0" labelOnly="1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5" count="1" selected="0">
            <x v="64"/>
          </reference>
          <reference field="7" count="1">
            <x v="8"/>
          </reference>
        </references>
      </pivotArea>
    </format>
    <format dxfId="583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12"/>
          </reference>
          <reference field="7" count="1">
            <x v="6"/>
          </reference>
        </references>
      </pivotArea>
    </format>
    <format dxfId="582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26"/>
          </reference>
          <reference field="7" count="1">
            <x v="7"/>
          </reference>
        </references>
      </pivotArea>
    </format>
    <format dxfId="581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40"/>
          </reference>
          <reference field="7" count="1">
            <x v="7"/>
          </reference>
        </references>
      </pivotArea>
    </format>
    <format dxfId="580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54"/>
          </reference>
          <reference field="7" count="1">
            <x v="8"/>
          </reference>
        </references>
      </pivotArea>
    </format>
    <format dxfId="579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68"/>
          </reference>
          <reference field="7" count="1">
            <x v="8"/>
          </reference>
        </references>
      </pivotArea>
    </format>
    <format dxfId="578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82"/>
          </reference>
          <reference field="7" count="1">
            <x v="9"/>
          </reference>
        </references>
      </pivotArea>
    </format>
    <format dxfId="577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5"/>
          </reference>
          <reference field="7" count="1">
            <x v="6"/>
          </reference>
        </references>
      </pivotArea>
    </format>
    <format dxfId="576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19"/>
          </reference>
          <reference field="7" count="1">
            <x v="7"/>
          </reference>
        </references>
      </pivotArea>
    </format>
    <format dxfId="575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33"/>
          </reference>
          <reference field="7" count="1">
            <x v="7"/>
          </reference>
        </references>
      </pivotArea>
    </format>
    <format dxfId="574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47"/>
          </reference>
          <reference field="7" count="1">
            <x v="7"/>
          </reference>
        </references>
      </pivotArea>
    </format>
    <format dxfId="573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75"/>
          </reference>
          <reference field="7" count="1">
            <x v="8"/>
          </reference>
        </references>
      </pivotArea>
    </format>
    <format dxfId="572">
      <pivotArea dataOnly="0" labelOnly="1" fieldPosition="0">
        <references count="4">
          <reference field="0" count="1" selected="0">
            <x v="7"/>
          </reference>
          <reference field="1" count="1" selected="0">
            <x v="2"/>
          </reference>
          <reference field="5" count="1" selected="0">
            <x v="61"/>
          </reference>
          <reference field="7" count="1">
            <x v="8"/>
          </reference>
        </references>
      </pivotArea>
    </format>
    <format dxfId="571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"/>
          </reference>
          <reference field="7" count="1">
            <x v="6"/>
          </reference>
        </references>
      </pivotArea>
    </format>
    <format dxfId="570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18"/>
          </reference>
          <reference field="7" count="1">
            <x v="7"/>
          </reference>
        </references>
      </pivotArea>
    </format>
    <format dxfId="569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32"/>
          </reference>
          <reference field="7" count="1">
            <x v="7"/>
          </reference>
        </references>
      </pivotArea>
    </format>
    <format dxfId="568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6"/>
          </reference>
          <reference field="7" count="1">
            <x v="7"/>
          </reference>
        </references>
      </pivotArea>
    </format>
    <format dxfId="567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60"/>
          </reference>
          <reference field="7" count="1">
            <x v="8"/>
          </reference>
        </references>
      </pivotArea>
    </format>
    <format dxfId="566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74"/>
          </reference>
          <reference field="7" count="1">
            <x v="8"/>
          </reference>
        </references>
      </pivotArea>
    </format>
    <format dxfId="565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10"/>
          </reference>
          <reference field="7" count="1">
            <x v="6"/>
          </reference>
        </references>
      </pivotArea>
    </format>
    <format dxfId="564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24"/>
          </reference>
          <reference field="7" count="1">
            <x v="7"/>
          </reference>
        </references>
      </pivotArea>
    </format>
    <format dxfId="563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38"/>
          </reference>
          <reference field="7" count="1">
            <x v="7"/>
          </reference>
        </references>
      </pivotArea>
    </format>
    <format dxfId="562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52"/>
          </reference>
          <reference field="7" count="1">
            <x v="8"/>
          </reference>
        </references>
      </pivotArea>
    </format>
    <format dxfId="561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80"/>
          </reference>
          <reference field="7" count="1">
            <x v="9"/>
          </reference>
        </references>
      </pivotArea>
    </format>
    <format dxfId="560">
      <pivotArea dataOnly="0" labelOnly="1" fieldPosition="0">
        <references count="4">
          <reference field="0" count="1" selected="0">
            <x v="9"/>
          </reference>
          <reference field="1" count="1" selected="0">
            <x v="2"/>
          </reference>
          <reference field="5" count="1" selected="0">
            <x v="66"/>
          </reference>
          <reference field="7" count="1">
            <x v="8"/>
          </reference>
        </references>
      </pivotArea>
    </format>
    <format dxfId="559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2"/>
          </reference>
          <reference field="7" count="1">
            <x v="6"/>
          </reference>
        </references>
      </pivotArea>
    </format>
    <format dxfId="558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16"/>
          </reference>
          <reference field="7" count="1">
            <x v="6"/>
          </reference>
        </references>
      </pivotArea>
    </format>
    <format dxfId="557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30"/>
          </reference>
          <reference field="7" count="1">
            <x v="7"/>
          </reference>
        </references>
      </pivotArea>
    </format>
    <format dxfId="556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44"/>
          </reference>
          <reference field="7" count="1">
            <x v="7"/>
          </reference>
        </references>
      </pivotArea>
    </format>
    <format dxfId="555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58"/>
          </reference>
          <reference field="7" count="1">
            <x v="8"/>
          </reference>
        </references>
      </pivotArea>
    </format>
    <format dxfId="554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72"/>
          </reference>
          <reference field="7" count="1">
            <x v="8"/>
          </reference>
        </references>
      </pivotArea>
    </format>
    <format dxfId="553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13"/>
          </reference>
          <reference field="7" count="1">
            <x v="6"/>
          </reference>
        </references>
      </pivotArea>
    </format>
    <format dxfId="552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27"/>
          </reference>
          <reference field="7" count="1">
            <x v="7"/>
          </reference>
        </references>
      </pivotArea>
    </format>
    <format dxfId="551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41"/>
          </reference>
          <reference field="7" count="1">
            <x v="7"/>
          </reference>
        </references>
      </pivotArea>
    </format>
    <format dxfId="550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55"/>
          </reference>
          <reference field="7" count="1">
            <x v="8"/>
          </reference>
        </references>
      </pivotArea>
    </format>
    <format dxfId="549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83"/>
          </reference>
          <reference field="7" count="1">
            <x v="9"/>
          </reference>
        </references>
      </pivotArea>
    </format>
    <format dxfId="548">
      <pivotArea dataOnly="0" labelOnly="1" fieldPosition="0">
        <references count="4">
          <reference field="0" count="1" selected="0">
            <x v="11"/>
          </reference>
          <reference field="1" count="1" selected="0">
            <x v="2"/>
          </reference>
          <reference field="5" count="1" selected="0">
            <x v="69"/>
          </reference>
          <reference field="7" count="1">
            <x v="8"/>
          </reference>
        </references>
      </pivotArea>
    </format>
    <format dxfId="547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6"/>
          </reference>
          <reference field="7" count="1">
            <x v="6"/>
          </reference>
        </references>
      </pivotArea>
    </format>
    <format dxfId="546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20"/>
          </reference>
          <reference field="7" count="1">
            <x v="7"/>
          </reference>
        </references>
      </pivotArea>
    </format>
    <format dxfId="545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34"/>
          </reference>
          <reference field="7" count="1">
            <x v="7"/>
          </reference>
        </references>
      </pivotArea>
    </format>
    <format dxfId="544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48"/>
          </reference>
          <reference field="7" count="1">
            <x v="8"/>
          </reference>
        </references>
      </pivotArea>
    </format>
    <format dxfId="543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76"/>
          </reference>
          <reference field="7" count="1">
            <x v="8"/>
          </reference>
        </references>
      </pivotArea>
    </format>
    <format dxfId="542">
      <pivotArea dataOnly="0" labelOnly="1" fieldPosition="0">
        <references count="4">
          <reference field="0" count="1" selected="0">
            <x v="12"/>
          </reference>
          <reference field="1" count="1" selected="0">
            <x v="2"/>
          </reference>
          <reference field="5" count="1" selected="0">
            <x v="62"/>
          </reference>
          <reference field="7" count="1">
            <x v="8"/>
          </reference>
        </references>
      </pivotArea>
    </format>
    <format dxfId="541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11"/>
          </reference>
          <reference field="7" count="1">
            <x v="6"/>
          </reference>
        </references>
      </pivotArea>
    </format>
    <format dxfId="540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25"/>
          </reference>
          <reference field="7" count="1">
            <x v="7"/>
          </reference>
        </references>
      </pivotArea>
    </format>
    <format dxfId="539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39"/>
          </reference>
          <reference field="7" count="1">
            <x v="7"/>
          </reference>
        </references>
      </pivotArea>
    </format>
    <format dxfId="538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53"/>
          </reference>
          <reference field="7" count="1">
            <x v="8"/>
          </reference>
        </references>
      </pivotArea>
    </format>
    <format dxfId="537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81"/>
          </reference>
          <reference field="7" count="1">
            <x v="9"/>
          </reference>
        </references>
      </pivotArea>
    </format>
    <format dxfId="536">
      <pivotArea dataOnly="0" labelOnly="1" fieldPosition="0">
        <references count="4">
          <reference field="0" count="1" selected="0">
            <x v="13"/>
          </reference>
          <reference field="1" count="1" selected="0">
            <x v="2"/>
          </reference>
          <reference field="5" count="1" selected="0">
            <x v="67"/>
          </reference>
          <reference field="7" count="1">
            <x v="8"/>
          </reference>
        </references>
      </pivotArea>
    </format>
    <format dxfId="5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4">
      <pivotArea type="all" dataOnly="0" outline="0" fieldPosition="0"/>
    </format>
    <format dxfId="533">
      <pivotArea outline="0" collapsedLevelsAreSubtotals="1" fieldPosition="0"/>
    </format>
    <format dxfId="5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31">
      <pivotArea field="0" type="button" dataOnly="0" labelOnly="1" outline="0" axis="axisRow" fieldPosition="0"/>
    </format>
    <format dxfId="530">
      <pivotArea dataOnly="0" labelOnly="1" fieldPosition="0">
        <references count="1">
          <reference field="0" count="0"/>
        </references>
      </pivotArea>
    </format>
    <format dxfId="529">
      <pivotArea dataOnly="0" labelOnly="1" grandRow="1" outline="0" fieldPosition="0"/>
    </format>
    <format dxfId="528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527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526">
      <pivotArea dataOnly="0" labelOnly="1" fieldPosition="0">
        <references count="2">
          <reference field="0" count="1" selected="0">
            <x v="2"/>
          </reference>
          <reference field="1" count="2">
            <x v="0"/>
            <x v="2"/>
          </reference>
        </references>
      </pivotArea>
    </format>
    <format dxfId="525">
      <pivotArea dataOnly="0" labelOnly="1" fieldPosition="0">
        <references count="2">
          <reference field="0" count="1" selected="0">
            <x v="3"/>
          </reference>
          <reference field="1" count="2">
            <x v="0"/>
            <x v="2"/>
          </reference>
        </references>
      </pivotArea>
    </format>
    <format dxfId="524">
      <pivotArea dataOnly="0" labelOnly="1" fieldPosition="0">
        <references count="2">
          <reference field="0" count="1" selected="0">
            <x v="4"/>
          </reference>
          <reference field="1" count="2">
            <x v="0"/>
            <x v="2"/>
          </reference>
        </references>
      </pivotArea>
    </format>
    <format dxfId="523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522">
      <pivotArea dataOnly="0" labelOnly="1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521">
      <pivotArea dataOnly="0" labelOnly="1" fieldPosition="0">
        <references count="2">
          <reference field="0" count="1" selected="0">
            <x v="7"/>
          </reference>
          <reference field="1" count="2">
            <x v="0"/>
            <x v="2"/>
          </reference>
        </references>
      </pivotArea>
    </format>
    <format dxfId="520">
      <pivotArea dataOnly="0" labelOnly="1" fieldPosition="0">
        <references count="2">
          <reference field="0" count="1" selected="0">
            <x v="8"/>
          </reference>
          <reference field="1" count="2">
            <x v="0"/>
            <x v="2"/>
          </reference>
        </references>
      </pivotArea>
    </format>
    <format dxfId="519">
      <pivotArea dataOnly="0" labelOnly="1" fieldPosition="0">
        <references count="2">
          <reference field="0" count="1" selected="0">
            <x v="9"/>
          </reference>
          <reference field="1" count="2">
            <x v="0"/>
            <x v="2"/>
          </reference>
        </references>
      </pivotArea>
    </format>
    <format dxfId="518">
      <pivotArea dataOnly="0" labelOnly="1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517">
      <pivotArea dataOnly="0" labelOnly="1" fieldPosition="0">
        <references count="2">
          <reference field="0" count="1" selected="0">
            <x v="11"/>
          </reference>
          <reference field="1" count="2">
            <x v="0"/>
            <x v="2"/>
          </reference>
        </references>
      </pivotArea>
    </format>
    <format dxfId="516">
      <pivotArea dataOnly="0" labelOnly="1" fieldPosition="0">
        <references count="2">
          <reference field="0" count="1" selected="0">
            <x v="12"/>
          </reference>
          <reference field="1" count="2">
            <x v="0"/>
            <x v="2"/>
          </reference>
        </references>
      </pivotArea>
    </format>
    <format dxfId="515">
      <pivotArea dataOnly="0" labelOnly="1" fieldPosition="0">
        <references count="2">
          <reference field="0" count="1" selected="0">
            <x v="13"/>
          </reference>
          <reference field="1" count="2">
            <x v="0"/>
            <x v="2"/>
          </reference>
        </references>
      </pivotArea>
    </format>
    <format dxfId="514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5" count="6">
            <x v="0"/>
            <x v="14"/>
            <x v="28"/>
            <x v="42"/>
            <x v="56"/>
            <x v="70"/>
          </reference>
        </references>
      </pivotArea>
    </format>
    <format dxfId="513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5" count="4">
            <x v="9"/>
            <x v="23"/>
            <x v="37"/>
            <x v="51"/>
          </reference>
        </references>
      </pivotArea>
    </format>
    <format dxfId="512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5" count="1">
            <x v="79"/>
          </reference>
        </references>
      </pivotArea>
    </format>
    <format dxfId="511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5" count="1">
            <x v="65"/>
          </reference>
        </references>
      </pivotArea>
    </format>
    <format dxfId="510">
      <pivotArea dataOnly="0" labelOnly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5" count="4">
            <x v="7"/>
            <x v="21"/>
            <x v="35"/>
            <x v="49"/>
          </reference>
        </references>
      </pivotArea>
    </format>
    <format dxfId="509">
      <pivotArea dataOnly="0" labelOnly="1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5" count="2">
            <x v="63"/>
            <x v="77"/>
          </reference>
        </references>
      </pivotArea>
    </format>
    <format dxfId="508">
      <pivotArea dataOnly="0" labelOnly="1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5" count="5">
            <x v="3"/>
            <x v="17"/>
            <x v="31"/>
            <x v="45"/>
            <x v="59"/>
          </reference>
        </references>
      </pivotArea>
    </format>
    <format dxfId="507">
      <pivotArea dataOnly="0" labelOnly="1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5" count="1">
            <x v="73"/>
          </reference>
        </references>
      </pivotArea>
    </format>
    <format dxfId="506">
      <pivotArea dataOnly="0" labelOnly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5" count="5">
            <x v="1"/>
            <x v="15"/>
            <x v="29"/>
            <x v="43"/>
            <x v="57"/>
          </reference>
        </references>
      </pivotArea>
    </format>
    <format dxfId="505">
      <pivotArea dataOnly="0" labelOnly="1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5" count="1">
            <x v="71"/>
          </reference>
        </references>
      </pivotArea>
    </format>
    <format dxfId="504">
      <pivotArea dataOnly="0" labelOnly="1" fieldPosition="0">
        <references count="3">
          <reference field="0" count="1" selected="0">
            <x v="5"/>
          </reference>
          <reference field="1" count="1" selected="0">
            <x v="0"/>
          </reference>
          <reference field="5" count="4">
            <x v="8"/>
            <x v="22"/>
            <x v="36"/>
            <x v="50"/>
          </reference>
        </references>
      </pivotArea>
    </format>
    <format dxfId="503">
      <pivotArea dataOnly="0" labelOnly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5" count="1">
            <x v="78"/>
          </reference>
        </references>
      </pivotArea>
    </format>
    <format dxfId="502">
      <pivotArea dataOnly="0" labelOnly="1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5" count="1">
            <x v="64"/>
          </reference>
        </references>
      </pivotArea>
    </format>
    <format dxfId="501">
      <pivotArea dataOnly="0" labelOnly="1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5" count="6">
            <x v="12"/>
            <x v="26"/>
            <x v="40"/>
            <x v="54"/>
            <x v="68"/>
            <x v="82"/>
          </reference>
        </references>
      </pivotArea>
    </format>
    <format dxfId="500">
      <pivotArea dataOnly="0" labelOnly="1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5" count="5">
            <x v="5"/>
            <x v="19"/>
            <x v="33"/>
            <x v="47"/>
            <x v="75"/>
          </reference>
        </references>
      </pivotArea>
    </format>
    <format dxfId="499">
      <pivotArea dataOnly="0" labelOnly="1" fieldPosition="0">
        <references count="3">
          <reference field="0" count="1" selected="0">
            <x v="7"/>
          </reference>
          <reference field="1" count="1" selected="0">
            <x v="2"/>
          </reference>
          <reference field="5" count="1">
            <x v="61"/>
          </reference>
        </references>
      </pivotArea>
    </format>
    <format dxfId="498">
      <pivotArea dataOnly="0" labelOnly="1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5" count="4">
            <x v="4"/>
            <x v="18"/>
            <x v="32"/>
            <x v="46"/>
          </reference>
        </references>
      </pivotArea>
    </format>
    <format dxfId="497">
      <pivotArea dataOnly="0" labelOnly="1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5" count="2">
            <x v="60"/>
            <x v="74"/>
          </reference>
        </references>
      </pivotArea>
    </format>
    <format dxfId="496">
      <pivotArea dataOnly="0" labelOnly="1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5" count="5">
            <x v="10"/>
            <x v="24"/>
            <x v="38"/>
            <x v="52"/>
            <x v="80"/>
          </reference>
        </references>
      </pivotArea>
    </format>
    <format dxfId="495">
      <pivotArea dataOnly="0" labelOnly="1" fieldPosition="0">
        <references count="3">
          <reference field="0" count="1" selected="0">
            <x v="9"/>
          </reference>
          <reference field="1" count="1" selected="0">
            <x v="2"/>
          </reference>
          <reference field="5" count="1">
            <x v="66"/>
          </reference>
        </references>
      </pivotArea>
    </format>
    <format dxfId="494">
      <pivotArea dataOnly="0" labelOnly="1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5" count="6">
            <x v="2"/>
            <x v="16"/>
            <x v="30"/>
            <x v="44"/>
            <x v="58"/>
            <x v="72"/>
          </reference>
        </references>
      </pivotArea>
    </format>
    <format dxfId="493">
      <pivotArea dataOnly="0" labelOnly="1" fieldPosition="0">
        <references count="3">
          <reference field="0" count="1" selected="0">
            <x v="11"/>
          </reference>
          <reference field="1" count="1" selected="0">
            <x v="0"/>
          </reference>
          <reference field="5" count="5">
            <x v="13"/>
            <x v="27"/>
            <x v="41"/>
            <x v="55"/>
            <x v="83"/>
          </reference>
        </references>
      </pivotArea>
    </format>
    <format dxfId="492">
      <pivotArea dataOnly="0" labelOnly="1" fieldPosition="0">
        <references count="3">
          <reference field="0" count="1" selected="0">
            <x v="11"/>
          </reference>
          <reference field="1" count="1" selected="0">
            <x v="2"/>
          </reference>
          <reference field="5" count="1">
            <x v="69"/>
          </reference>
        </references>
      </pivotArea>
    </format>
    <format dxfId="491">
      <pivotArea dataOnly="0" labelOnly="1" fieldPosition="0">
        <references count="3">
          <reference field="0" count="1" selected="0">
            <x v="12"/>
          </reference>
          <reference field="1" count="1" selected="0">
            <x v="0"/>
          </reference>
          <reference field="5" count="5">
            <x v="6"/>
            <x v="20"/>
            <x v="34"/>
            <x v="48"/>
            <x v="76"/>
          </reference>
        </references>
      </pivotArea>
    </format>
    <format dxfId="490">
      <pivotArea dataOnly="0" labelOnly="1" fieldPosition="0">
        <references count="3">
          <reference field="0" count="1" selected="0">
            <x v="12"/>
          </reference>
          <reference field="1" count="1" selected="0">
            <x v="2"/>
          </reference>
          <reference field="5" count="1">
            <x v="62"/>
          </reference>
        </references>
      </pivotArea>
    </format>
    <format dxfId="489">
      <pivotArea dataOnly="0" labelOnly="1" fieldPosition="0">
        <references count="3">
          <reference field="0" count="1" selected="0">
            <x v="13"/>
          </reference>
          <reference field="1" count="1" selected="0">
            <x v="0"/>
          </reference>
          <reference field="5" count="5">
            <x v="11"/>
            <x v="25"/>
            <x v="39"/>
            <x v="53"/>
            <x v="81"/>
          </reference>
        </references>
      </pivotArea>
    </format>
    <format dxfId="488">
      <pivotArea dataOnly="0" labelOnly="1" fieldPosition="0">
        <references count="3">
          <reference field="0" count="1" selected="0">
            <x v="13"/>
          </reference>
          <reference field="1" count="1" selected="0">
            <x v="2"/>
          </reference>
          <reference field="5" count="1">
            <x v="67"/>
          </reference>
        </references>
      </pivotArea>
    </format>
    <format dxfId="487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  <reference field="7" count="1">
            <x v="6"/>
          </reference>
        </references>
      </pivotArea>
    </format>
    <format dxfId="486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14"/>
          </reference>
          <reference field="7" count="1">
            <x v="6"/>
          </reference>
        </references>
      </pivotArea>
    </format>
    <format dxfId="485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28"/>
          </reference>
          <reference field="7" count="1">
            <x v="7"/>
          </reference>
        </references>
      </pivotArea>
    </format>
    <format dxfId="484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42"/>
          </reference>
          <reference field="7" count="1">
            <x v="7"/>
          </reference>
        </references>
      </pivotArea>
    </format>
    <format dxfId="483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56"/>
          </reference>
          <reference field="7" count="1">
            <x v="8"/>
          </reference>
        </references>
      </pivotArea>
    </format>
    <format dxfId="482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70"/>
          </reference>
          <reference field="7" count="1">
            <x v="8"/>
          </reference>
        </references>
      </pivotArea>
    </format>
    <format dxfId="481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9"/>
          </reference>
          <reference field="7" count="1">
            <x v="6"/>
          </reference>
        </references>
      </pivotArea>
    </format>
    <format dxfId="480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23"/>
          </reference>
          <reference field="7" count="1">
            <x v="7"/>
          </reference>
        </references>
      </pivotArea>
    </format>
    <format dxfId="479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37"/>
          </reference>
          <reference field="7" count="1">
            <x v="7"/>
          </reference>
        </references>
      </pivotArea>
    </format>
    <format dxfId="478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51"/>
          </reference>
          <reference field="7" count="1">
            <x v="8"/>
          </reference>
        </references>
      </pivotArea>
    </format>
    <format dxfId="477">
      <pivotArea dataOnly="0" labelOnly="1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5" count="1" selected="0">
            <x v="79"/>
          </reference>
          <reference field="7" count="1">
            <x v="9"/>
          </reference>
        </references>
      </pivotArea>
    </format>
    <format dxfId="476">
      <pivotArea dataOnly="0" labelOnly="1" fieldPosition="0">
        <references count="4">
          <reference field="0" count="1" selected="0">
            <x v="1"/>
          </reference>
          <reference field="1" count="1" selected="0">
            <x v="2"/>
          </reference>
          <reference field="5" count="1" selected="0">
            <x v="65"/>
          </reference>
          <reference field="7" count="1">
            <x v="8"/>
          </reference>
        </references>
      </pivotArea>
    </format>
    <format dxfId="475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7"/>
          </reference>
          <reference field="7" count="1">
            <x v="6"/>
          </reference>
        </references>
      </pivotArea>
    </format>
    <format dxfId="474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21"/>
          </reference>
          <reference field="7" count="1">
            <x v="7"/>
          </reference>
        </references>
      </pivotArea>
    </format>
    <format dxfId="473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35"/>
          </reference>
          <reference field="7" count="1">
            <x v="7"/>
          </reference>
        </references>
      </pivotArea>
    </format>
    <format dxfId="472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49"/>
          </reference>
          <reference field="7" count="1">
            <x v="8"/>
          </reference>
        </references>
      </pivotArea>
    </format>
    <format dxfId="471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63"/>
          </reference>
          <reference field="7" count="1">
            <x v="8"/>
          </reference>
        </references>
      </pivotArea>
    </format>
    <format dxfId="470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77"/>
          </reference>
          <reference field="7" count="1">
            <x v="8"/>
          </reference>
        </references>
      </pivotArea>
    </format>
    <format dxfId="469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"/>
          </reference>
          <reference field="7" count="1">
            <x v="6"/>
          </reference>
        </references>
      </pivotArea>
    </format>
    <format dxfId="468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17"/>
          </reference>
          <reference field="7" count="1">
            <x v="7"/>
          </reference>
        </references>
      </pivotArea>
    </format>
    <format dxfId="467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1"/>
          </reference>
          <reference field="7" count="1">
            <x v="7"/>
          </reference>
        </references>
      </pivotArea>
    </format>
    <format dxfId="466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45"/>
          </reference>
          <reference field="7" count="1">
            <x v="7"/>
          </reference>
        </references>
      </pivotArea>
    </format>
    <format dxfId="465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59"/>
          </reference>
          <reference field="7" count="1">
            <x v="8"/>
          </reference>
        </references>
      </pivotArea>
    </format>
    <format dxfId="464">
      <pivotArea dataOnly="0" labelOnly="1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5" count="1" selected="0">
            <x v="73"/>
          </reference>
          <reference field="7" count="1">
            <x v="8"/>
          </reference>
        </references>
      </pivotArea>
    </format>
    <format dxfId="463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"/>
          </reference>
          <reference field="7" count="1">
            <x v="6"/>
          </reference>
        </references>
      </pivotArea>
    </format>
    <format dxfId="462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5"/>
          </reference>
          <reference field="7" count="1">
            <x v="6"/>
          </reference>
        </references>
      </pivotArea>
    </format>
    <format dxfId="461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29"/>
          </reference>
          <reference field="7" count="1">
            <x v="7"/>
          </reference>
        </references>
      </pivotArea>
    </format>
    <format dxfId="460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43"/>
          </reference>
          <reference field="7" count="1">
            <x v="7"/>
          </reference>
        </references>
      </pivotArea>
    </format>
    <format dxfId="459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57"/>
          </reference>
          <reference field="7" count="1">
            <x v="8"/>
          </reference>
        </references>
      </pivotArea>
    </format>
    <format dxfId="458">
      <pivotArea dataOnly="0" labelOnly="1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5" count="1" selected="0">
            <x v="71"/>
          </reference>
          <reference field="7" count="1">
            <x v="8"/>
          </reference>
        </references>
      </pivotArea>
    </format>
    <format dxfId="457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8"/>
          </reference>
          <reference field="7" count="1">
            <x v="6"/>
          </reference>
        </references>
      </pivotArea>
    </format>
    <format dxfId="456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22"/>
          </reference>
          <reference field="7" count="1">
            <x v="7"/>
          </reference>
        </references>
      </pivotArea>
    </format>
    <format dxfId="455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36"/>
          </reference>
          <reference field="7" count="1">
            <x v="7"/>
          </reference>
        </references>
      </pivotArea>
    </format>
    <format dxfId="454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50"/>
          </reference>
          <reference field="7" count="1">
            <x v="8"/>
          </reference>
        </references>
      </pivotArea>
    </format>
    <format dxfId="453">
      <pivotArea dataOnly="0" labelOnly="1" fieldPosition="0">
        <references count="4">
          <reference field="0" count="1" selected="0">
            <x v="5"/>
          </reference>
          <reference field="1" count="1" selected="0">
            <x v="1"/>
          </reference>
          <reference field="5" count="1" selected="0">
            <x v="78"/>
          </reference>
          <reference field="7" count="1">
            <x v="8"/>
          </reference>
        </references>
      </pivotArea>
    </format>
    <format dxfId="452">
      <pivotArea dataOnly="0" labelOnly="1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5" count="1" selected="0">
            <x v="64"/>
          </reference>
          <reference field="7" count="1">
            <x v="8"/>
          </reference>
        </references>
      </pivotArea>
    </format>
    <format dxfId="451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12"/>
          </reference>
          <reference field="7" count="1">
            <x v="6"/>
          </reference>
        </references>
      </pivotArea>
    </format>
    <format dxfId="450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26"/>
          </reference>
          <reference field="7" count="1">
            <x v="7"/>
          </reference>
        </references>
      </pivotArea>
    </format>
    <format dxfId="449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40"/>
          </reference>
          <reference field="7" count="1">
            <x v="7"/>
          </reference>
        </references>
      </pivotArea>
    </format>
    <format dxfId="448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54"/>
          </reference>
          <reference field="7" count="1">
            <x v="8"/>
          </reference>
        </references>
      </pivotArea>
    </format>
    <format dxfId="447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68"/>
          </reference>
          <reference field="7" count="1">
            <x v="8"/>
          </reference>
        </references>
      </pivotArea>
    </format>
    <format dxfId="446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82"/>
          </reference>
          <reference field="7" count="1">
            <x v="9"/>
          </reference>
        </references>
      </pivotArea>
    </format>
    <format dxfId="445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5"/>
          </reference>
          <reference field="7" count="1">
            <x v="6"/>
          </reference>
        </references>
      </pivotArea>
    </format>
    <format dxfId="444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19"/>
          </reference>
          <reference field="7" count="1">
            <x v="7"/>
          </reference>
        </references>
      </pivotArea>
    </format>
    <format dxfId="443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33"/>
          </reference>
          <reference field="7" count="1">
            <x v="7"/>
          </reference>
        </references>
      </pivotArea>
    </format>
    <format dxfId="442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47"/>
          </reference>
          <reference field="7" count="1">
            <x v="7"/>
          </reference>
        </references>
      </pivotArea>
    </format>
    <format dxfId="441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75"/>
          </reference>
          <reference field="7" count="1">
            <x v="8"/>
          </reference>
        </references>
      </pivotArea>
    </format>
    <format dxfId="440">
      <pivotArea dataOnly="0" labelOnly="1" fieldPosition="0">
        <references count="4">
          <reference field="0" count="1" selected="0">
            <x v="7"/>
          </reference>
          <reference field="1" count="1" selected="0">
            <x v="2"/>
          </reference>
          <reference field="5" count="1" selected="0">
            <x v="61"/>
          </reference>
          <reference field="7" count="1">
            <x v="8"/>
          </reference>
        </references>
      </pivotArea>
    </format>
    <format dxfId="439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"/>
          </reference>
          <reference field="7" count="1">
            <x v="6"/>
          </reference>
        </references>
      </pivotArea>
    </format>
    <format dxfId="438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18"/>
          </reference>
          <reference field="7" count="1">
            <x v="7"/>
          </reference>
        </references>
      </pivotArea>
    </format>
    <format dxfId="437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32"/>
          </reference>
          <reference field="7" count="1">
            <x v="7"/>
          </reference>
        </references>
      </pivotArea>
    </format>
    <format dxfId="436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6"/>
          </reference>
          <reference field="7" count="1">
            <x v="7"/>
          </reference>
        </references>
      </pivotArea>
    </format>
    <format dxfId="435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60"/>
          </reference>
          <reference field="7" count="1">
            <x v="8"/>
          </reference>
        </references>
      </pivotArea>
    </format>
    <format dxfId="434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74"/>
          </reference>
          <reference field="7" count="1">
            <x v="8"/>
          </reference>
        </references>
      </pivotArea>
    </format>
    <format dxfId="433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10"/>
          </reference>
          <reference field="7" count="1">
            <x v="6"/>
          </reference>
        </references>
      </pivotArea>
    </format>
    <format dxfId="432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24"/>
          </reference>
          <reference field="7" count="1">
            <x v="7"/>
          </reference>
        </references>
      </pivotArea>
    </format>
    <format dxfId="431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38"/>
          </reference>
          <reference field="7" count="1">
            <x v="7"/>
          </reference>
        </references>
      </pivotArea>
    </format>
    <format dxfId="430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52"/>
          </reference>
          <reference field="7" count="1">
            <x v="8"/>
          </reference>
        </references>
      </pivotArea>
    </format>
    <format dxfId="429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80"/>
          </reference>
          <reference field="7" count="1">
            <x v="9"/>
          </reference>
        </references>
      </pivotArea>
    </format>
    <format dxfId="428">
      <pivotArea dataOnly="0" labelOnly="1" fieldPosition="0">
        <references count="4">
          <reference field="0" count="1" selected="0">
            <x v="9"/>
          </reference>
          <reference field="1" count="1" selected="0">
            <x v="2"/>
          </reference>
          <reference field="5" count="1" selected="0">
            <x v="66"/>
          </reference>
          <reference field="7" count="1">
            <x v="8"/>
          </reference>
        </references>
      </pivotArea>
    </format>
    <format dxfId="427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2"/>
          </reference>
          <reference field="7" count="1">
            <x v="6"/>
          </reference>
        </references>
      </pivotArea>
    </format>
    <format dxfId="426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16"/>
          </reference>
          <reference field="7" count="1">
            <x v="6"/>
          </reference>
        </references>
      </pivotArea>
    </format>
    <format dxfId="425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30"/>
          </reference>
          <reference field="7" count="1">
            <x v="7"/>
          </reference>
        </references>
      </pivotArea>
    </format>
    <format dxfId="424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44"/>
          </reference>
          <reference field="7" count="1">
            <x v="7"/>
          </reference>
        </references>
      </pivotArea>
    </format>
    <format dxfId="423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58"/>
          </reference>
          <reference field="7" count="1">
            <x v="8"/>
          </reference>
        </references>
      </pivotArea>
    </format>
    <format dxfId="422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72"/>
          </reference>
          <reference field="7" count="1">
            <x v="8"/>
          </reference>
        </references>
      </pivotArea>
    </format>
    <format dxfId="421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13"/>
          </reference>
          <reference field="7" count="1">
            <x v="6"/>
          </reference>
        </references>
      </pivotArea>
    </format>
    <format dxfId="420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27"/>
          </reference>
          <reference field="7" count="1">
            <x v="7"/>
          </reference>
        </references>
      </pivotArea>
    </format>
    <format dxfId="419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41"/>
          </reference>
          <reference field="7" count="1">
            <x v="7"/>
          </reference>
        </references>
      </pivotArea>
    </format>
    <format dxfId="418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55"/>
          </reference>
          <reference field="7" count="1">
            <x v="8"/>
          </reference>
        </references>
      </pivotArea>
    </format>
    <format dxfId="417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83"/>
          </reference>
          <reference field="7" count="1">
            <x v="9"/>
          </reference>
        </references>
      </pivotArea>
    </format>
    <format dxfId="416">
      <pivotArea dataOnly="0" labelOnly="1" fieldPosition="0">
        <references count="4">
          <reference field="0" count="1" selected="0">
            <x v="11"/>
          </reference>
          <reference field="1" count="1" selected="0">
            <x v="2"/>
          </reference>
          <reference field="5" count="1" selected="0">
            <x v="69"/>
          </reference>
          <reference field="7" count="1">
            <x v="8"/>
          </reference>
        </references>
      </pivotArea>
    </format>
    <format dxfId="415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6"/>
          </reference>
          <reference field="7" count="1">
            <x v="6"/>
          </reference>
        </references>
      </pivotArea>
    </format>
    <format dxfId="414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20"/>
          </reference>
          <reference field="7" count="1">
            <x v="7"/>
          </reference>
        </references>
      </pivotArea>
    </format>
    <format dxfId="413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34"/>
          </reference>
          <reference field="7" count="1">
            <x v="7"/>
          </reference>
        </references>
      </pivotArea>
    </format>
    <format dxfId="412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48"/>
          </reference>
          <reference field="7" count="1">
            <x v="8"/>
          </reference>
        </references>
      </pivotArea>
    </format>
    <format dxfId="411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76"/>
          </reference>
          <reference field="7" count="1">
            <x v="8"/>
          </reference>
        </references>
      </pivotArea>
    </format>
    <format dxfId="410">
      <pivotArea dataOnly="0" labelOnly="1" fieldPosition="0">
        <references count="4">
          <reference field="0" count="1" selected="0">
            <x v="12"/>
          </reference>
          <reference field="1" count="1" selected="0">
            <x v="2"/>
          </reference>
          <reference field="5" count="1" selected="0">
            <x v="62"/>
          </reference>
          <reference field="7" count="1">
            <x v="8"/>
          </reference>
        </references>
      </pivotArea>
    </format>
    <format dxfId="409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11"/>
          </reference>
          <reference field="7" count="1">
            <x v="6"/>
          </reference>
        </references>
      </pivotArea>
    </format>
    <format dxfId="408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25"/>
          </reference>
          <reference field="7" count="1">
            <x v="7"/>
          </reference>
        </references>
      </pivotArea>
    </format>
    <format dxfId="407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39"/>
          </reference>
          <reference field="7" count="1">
            <x v="7"/>
          </reference>
        </references>
      </pivotArea>
    </format>
    <format dxfId="406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53"/>
          </reference>
          <reference field="7" count="1">
            <x v="8"/>
          </reference>
        </references>
      </pivotArea>
    </format>
    <format dxfId="405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81"/>
          </reference>
          <reference field="7" count="1">
            <x v="9"/>
          </reference>
        </references>
      </pivotArea>
    </format>
    <format dxfId="404">
      <pivotArea dataOnly="0" labelOnly="1" fieldPosition="0">
        <references count="4">
          <reference field="0" count="1" selected="0">
            <x v="13"/>
          </reference>
          <reference field="1" count="1" selected="0">
            <x v="2"/>
          </reference>
          <reference field="5" count="1" selected="0">
            <x v="67"/>
          </reference>
          <reference field="7" count="1">
            <x v="8"/>
          </reference>
        </references>
      </pivotArea>
    </format>
    <format dxfId="403">
      <pivotArea field="0" type="button" dataOnly="0" labelOnly="1" outline="0" axis="axisRow" fieldPosition="0"/>
    </format>
    <format dxfId="402">
      <pivotArea dataOnly="0" labelOnly="1" fieldPosition="0">
        <references count="1">
          <reference field="0" count="0"/>
        </references>
      </pivotArea>
    </format>
    <format dxfId="401">
      <pivotArea dataOnly="0" labelOnly="1" grandRow="1" outline="0" fieldPosition="0"/>
    </format>
    <format dxfId="400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399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398">
      <pivotArea dataOnly="0" labelOnly="1" fieldPosition="0">
        <references count="2">
          <reference field="0" count="1" selected="0">
            <x v="2"/>
          </reference>
          <reference field="1" count="2">
            <x v="0"/>
            <x v="2"/>
          </reference>
        </references>
      </pivotArea>
    </format>
    <format dxfId="397">
      <pivotArea dataOnly="0" labelOnly="1" fieldPosition="0">
        <references count="2">
          <reference field="0" count="1" selected="0">
            <x v="3"/>
          </reference>
          <reference field="1" count="2">
            <x v="0"/>
            <x v="2"/>
          </reference>
        </references>
      </pivotArea>
    </format>
    <format dxfId="396">
      <pivotArea dataOnly="0" labelOnly="1" fieldPosition="0">
        <references count="2">
          <reference field="0" count="1" selected="0">
            <x v="4"/>
          </reference>
          <reference field="1" count="2">
            <x v="0"/>
            <x v="2"/>
          </reference>
        </references>
      </pivotArea>
    </format>
    <format dxfId="395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394">
      <pivotArea dataOnly="0" labelOnly="1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393">
      <pivotArea dataOnly="0" labelOnly="1" fieldPosition="0">
        <references count="2">
          <reference field="0" count="1" selected="0">
            <x v="7"/>
          </reference>
          <reference field="1" count="2">
            <x v="0"/>
            <x v="2"/>
          </reference>
        </references>
      </pivotArea>
    </format>
    <format dxfId="392">
      <pivotArea dataOnly="0" labelOnly="1" fieldPosition="0">
        <references count="2">
          <reference field="0" count="1" selected="0">
            <x v="8"/>
          </reference>
          <reference field="1" count="2">
            <x v="0"/>
            <x v="2"/>
          </reference>
        </references>
      </pivotArea>
    </format>
    <format dxfId="391">
      <pivotArea dataOnly="0" labelOnly="1" fieldPosition="0">
        <references count="2">
          <reference field="0" count="1" selected="0">
            <x v="9"/>
          </reference>
          <reference field="1" count="2">
            <x v="0"/>
            <x v="2"/>
          </reference>
        </references>
      </pivotArea>
    </format>
    <format dxfId="390">
      <pivotArea dataOnly="0" labelOnly="1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389">
      <pivotArea dataOnly="0" labelOnly="1" fieldPosition="0">
        <references count="2">
          <reference field="0" count="1" selected="0">
            <x v="11"/>
          </reference>
          <reference field="1" count="2">
            <x v="0"/>
            <x v="2"/>
          </reference>
        </references>
      </pivotArea>
    </format>
    <format dxfId="388">
      <pivotArea dataOnly="0" labelOnly="1" fieldPosition="0">
        <references count="2">
          <reference field="0" count="1" selected="0">
            <x v="12"/>
          </reference>
          <reference field="1" count="2">
            <x v="0"/>
            <x v="2"/>
          </reference>
        </references>
      </pivotArea>
    </format>
    <format dxfId="387">
      <pivotArea dataOnly="0" labelOnly="1" fieldPosition="0">
        <references count="2">
          <reference field="0" count="1" selected="0">
            <x v="13"/>
          </reference>
          <reference field="1" count="2">
            <x v="0"/>
            <x v="2"/>
          </reference>
        </references>
      </pivotArea>
    </format>
    <format dxfId="386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5" count="6">
            <x v="0"/>
            <x v="14"/>
            <x v="28"/>
            <x v="42"/>
            <x v="56"/>
            <x v="70"/>
          </reference>
        </references>
      </pivotArea>
    </format>
    <format dxfId="385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5" count="4">
            <x v="9"/>
            <x v="23"/>
            <x v="37"/>
            <x v="51"/>
          </reference>
        </references>
      </pivotArea>
    </format>
    <format dxfId="384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5" count="1">
            <x v="79"/>
          </reference>
        </references>
      </pivotArea>
    </format>
    <format dxfId="383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5" count="1">
            <x v="65"/>
          </reference>
        </references>
      </pivotArea>
    </format>
    <format dxfId="382">
      <pivotArea dataOnly="0" labelOnly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5" count="4">
            <x v="7"/>
            <x v="21"/>
            <x v="35"/>
            <x v="49"/>
          </reference>
        </references>
      </pivotArea>
    </format>
    <format dxfId="381">
      <pivotArea dataOnly="0" labelOnly="1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5" count="2">
            <x v="63"/>
            <x v="77"/>
          </reference>
        </references>
      </pivotArea>
    </format>
    <format dxfId="380">
      <pivotArea dataOnly="0" labelOnly="1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5" count="5">
            <x v="3"/>
            <x v="17"/>
            <x v="31"/>
            <x v="45"/>
            <x v="59"/>
          </reference>
        </references>
      </pivotArea>
    </format>
    <format dxfId="379">
      <pivotArea dataOnly="0" labelOnly="1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5" count="1">
            <x v="73"/>
          </reference>
        </references>
      </pivotArea>
    </format>
    <format dxfId="378">
      <pivotArea dataOnly="0" labelOnly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5" count="5">
            <x v="1"/>
            <x v="15"/>
            <x v="29"/>
            <x v="43"/>
            <x v="57"/>
          </reference>
        </references>
      </pivotArea>
    </format>
    <format dxfId="377">
      <pivotArea dataOnly="0" labelOnly="1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5" count="1">
            <x v="71"/>
          </reference>
        </references>
      </pivotArea>
    </format>
    <format dxfId="376">
      <pivotArea dataOnly="0" labelOnly="1" fieldPosition="0">
        <references count="3">
          <reference field="0" count="1" selected="0">
            <x v="5"/>
          </reference>
          <reference field="1" count="1" selected="0">
            <x v="0"/>
          </reference>
          <reference field="5" count="4">
            <x v="8"/>
            <x v="22"/>
            <x v="36"/>
            <x v="50"/>
          </reference>
        </references>
      </pivotArea>
    </format>
    <format dxfId="375">
      <pivotArea dataOnly="0" labelOnly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5" count="1">
            <x v="78"/>
          </reference>
        </references>
      </pivotArea>
    </format>
    <format dxfId="374">
      <pivotArea dataOnly="0" labelOnly="1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5" count="1">
            <x v="64"/>
          </reference>
        </references>
      </pivotArea>
    </format>
    <format dxfId="373">
      <pivotArea dataOnly="0" labelOnly="1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5" count="6">
            <x v="12"/>
            <x v="26"/>
            <x v="40"/>
            <x v="54"/>
            <x v="68"/>
            <x v="82"/>
          </reference>
        </references>
      </pivotArea>
    </format>
    <format dxfId="372">
      <pivotArea dataOnly="0" labelOnly="1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5" count="5">
            <x v="5"/>
            <x v="19"/>
            <x v="33"/>
            <x v="47"/>
            <x v="75"/>
          </reference>
        </references>
      </pivotArea>
    </format>
    <format dxfId="371">
      <pivotArea dataOnly="0" labelOnly="1" fieldPosition="0">
        <references count="3">
          <reference field="0" count="1" selected="0">
            <x v="7"/>
          </reference>
          <reference field="1" count="1" selected="0">
            <x v="2"/>
          </reference>
          <reference field="5" count="1">
            <x v="61"/>
          </reference>
        </references>
      </pivotArea>
    </format>
    <format dxfId="370">
      <pivotArea dataOnly="0" labelOnly="1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5" count="4">
            <x v="4"/>
            <x v="18"/>
            <x v="32"/>
            <x v="46"/>
          </reference>
        </references>
      </pivotArea>
    </format>
    <format dxfId="369">
      <pivotArea dataOnly="0" labelOnly="1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5" count="2">
            <x v="60"/>
            <x v="74"/>
          </reference>
        </references>
      </pivotArea>
    </format>
    <format dxfId="368">
      <pivotArea dataOnly="0" labelOnly="1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5" count="5">
            <x v="10"/>
            <x v="24"/>
            <x v="38"/>
            <x v="52"/>
            <x v="80"/>
          </reference>
        </references>
      </pivotArea>
    </format>
    <format dxfId="367">
      <pivotArea dataOnly="0" labelOnly="1" fieldPosition="0">
        <references count="3">
          <reference field="0" count="1" selected="0">
            <x v="9"/>
          </reference>
          <reference field="1" count="1" selected="0">
            <x v="2"/>
          </reference>
          <reference field="5" count="1">
            <x v="66"/>
          </reference>
        </references>
      </pivotArea>
    </format>
    <format dxfId="366">
      <pivotArea dataOnly="0" labelOnly="1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5" count="6">
            <x v="2"/>
            <x v="16"/>
            <x v="30"/>
            <x v="44"/>
            <x v="58"/>
            <x v="72"/>
          </reference>
        </references>
      </pivotArea>
    </format>
    <format dxfId="365">
      <pivotArea dataOnly="0" labelOnly="1" fieldPosition="0">
        <references count="3">
          <reference field="0" count="1" selected="0">
            <x v="11"/>
          </reference>
          <reference field="1" count="1" selected="0">
            <x v="0"/>
          </reference>
          <reference field="5" count="5">
            <x v="13"/>
            <x v="27"/>
            <x v="41"/>
            <x v="55"/>
            <x v="83"/>
          </reference>
        </references>
      </pivotArea>
    </format>
    <format dxfId="364">
      <pivotArea dataOnly="0" labelOnly="1" fieldPosition="0">
        <references count="3">
          <reference field="0" count="1" selected="0">
            <x v="11"/>
          </reference>
          <reference field="1" count="1" selected="0">
            <x v="2"/>
          </reference>
          <reference field="5" count="1">
            <x v="69"/>
          </reference>
        </references>
      </pivotArea>
    </format>
    <format dxfId="363">
      <pivotArea dataOnly="0" labelOnly="1" fieldPosition="0">
        <references count="3">
          <reference field="0" count="1" selected="0">
            <x v="12"/>
          </reference>
          <reference field="1" count="1" selected="0">
            <x v="0"/>
          </reference>
          <reference field="5" count="5">
            <x v="6"/>
            <x v="20"/>
            <x v="34"/>
            <x v="48"/>
            <x v="76"/>
          </reference>
        </references>
      </pivotArea>
    </format>
    <format dxfId="362">
      <pivotArea dataOnly="0" labelOnly="1" fieldPosition="0">
        <references count="3">
          <reference field="0" count="1" selected="0">
            <x v="12"/>
          </reference>
          <reference field="1" count="1" selected="0">
            <x v="2"/>
          </reference>
          <reference field="5" count="1">
            <x v="62"/>
          </reference>
        </references>
      </pivotArea>
    </format>
    <format dxfId="361">
      <pivotArea dataOnly="0" labelOnly="1" fieldPosition="0">
        <references count="3">
          <reference field="0" count="1" selected="0">
            <x v="13"/>
          </reference>
          <reference field="1" count="1" selected="0">
            <x v="0"/>
          </reference>
          <reference field="5" count="5">
            <x v="11"/>
            <x v="25"/>
            <x v="39"/>
            <x v="53"/>
            <x v="81"/>
          </reference>
        </references>
      </pivotArea>
    </format>
    <format dxfId="360">
      <pivotArea dataOnly="0" labelOnly="1" fieldPosition="0">
        <references count="3">
          <reference field="0" count="1" selected="0">
            <x v="13"/>
          </reference>
          <reference field="1" count="1" selected="0">
            <x v="2"/>
          </reference>
          <reference field="5" count="1">
            <x v="67"/>
          </reference>
        </references>
      </pivotArea>
    </format>
    <format dxfId="359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  <reference field="7" count="1">
            <x v="6"/>
          </reference>
        </references>
      </pivotArea>
    </format>
    <format dxfId="358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14"/>
          </reference>
          <reference field="7" count="1">
            <x v="6"/>
          </reference>
        </references>
      </pivotArea>
    </format>
    <format dxfId="357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28"/>
          </reference>
          <reference field="7" count="1">
            <x v="7"/>
          </reference>
        </references>
      </pivotArea>
    </format>
    <format dxfId="356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42"/>
          </reference>
          <reference field="7" count="1">
            <x v="7"/>
          </reference>
        </references>
      </pivotArea>
    </format>
    <format dxfId="355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56"/>
          </reference>
          <reference field="7" count="1">
            <x v="8"/>
          </reference>
        </references>
      </pivotArea>
    </format>
    <format dxfId="354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70"/>
          </reference>
          <reference field="7" count="1">
            <x v="8"/>
          </reference>
        </references>
      </pivotArea>
    </format>
    <format dxfId="353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9"/>
          </reference>
          <reference field="7" count="1">
            <x v="6"/>
          </reference>
        </references>
      </pivotArea>
    </format>
    <format dxfId="352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23"/>
          </reference>
          <reference field="7" count="1">
            <x v="7"/>
          </reference>
        </references>
      </pivotArea>
    </format>
    <format dxfId="351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37"/>
          </reference>
          <reference field="7" count="1">
            <x v="7"/>
          </reference>
        </references>
      </pivotArea>
    </format>
    <format dxfId="350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51"/>
          </reference>
          <reference field="7" count="1">
            <x v="8"/>
          </reference>
        </references>
      </pivotArea>
    </format>
    <format dxfId="349">
      <pivotArea dataOnly="0" labelOnly="1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5" count="1" selected="0">
            <x v="79"/>
          </reference>
          <reference field="7" count="1">
            <x v="9"/>
          </reference>
        </references>
      </pivotArea>
    </format>
    <format dxfId="348">
      <pivotArea dataOnly="0" labelOnly="1" fieldPosition="0">
        <references count="4">
          <reference field="0" count="1" selected="0">
            <x v="1"/>
          </reference>
          <reference field="1" count="1" selected="0">
            <x v="2"/>
          </reference>
          <reference field="5" count="1" selected="0">
            <x v="65"/>
          </reference>
          <reference field="7" count="1">
            <x v="8"/>
          </reference>
        </references>
      </pivotArea>
    </format>
    <format dxfId="347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7"/>
          </reference>
          <reference field="7" count="1">
            <x v="6"/>
          </reference>
        </references>
      </pivotArea>
    </format>
    <format dxfId="346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21"/>
          </reference>
          <reference field="7" count="1">
            <x v="7"/>
          </reference>
        </references>
      </pivotArea>
    </format>
    <format dxfId="345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35"/>
          </reference>
          <reference field="7" count="1">
            <x v="7"/>
          </reference>
        </references>
      </pivotArea>
    </format>
    <format dxfId="344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49"/>
          </reference>
          <reference field="7" count="1">
            <x v="8"/>
          </reference>
        </references>
      </pivotArea>
    </format>
    <format dxfId="343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63"/>
          </reference>
          <reference field="7" count="1">
            <x v="8"/>
          </reference>
        </references>
      </pivotArea>
    </format>
    <format dxfId="342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77"/>
          </reference>
          <reference field="7" count="1">
            <x v="8"/>
          </reference>
        </references>
      </pivotArea>
    </format>
    <format dxfId="341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"/>
          </reference>
          <reference field="7" count="1">
            <x v="6"/>
          </reference>
        </references>
      </pivotArea>
    </format>
    <format dxfId="340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17"/>
          </reference>
          <reference field="7" count="1">
            <x v="7"/>
          </reference>
        </references>
      </pivotArea>
    </format>
    <format dxfId="339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1"/>
          </reference>
          <reference field="7" count="1">
            <x v="7"/>
          </reference>
        </references>
      </pivotArea>
    </format>
    <format dxfId="338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45"/>
          </reference>
          <reference field="7" count="1">
            <x v="7"/>
          </reference>
        </references>
      </pivotArea>
    </format>
    <format dxfId="337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59"/>
          </reference>
          <reference field="7" count="1">
            <x v="8"/>
          </reference>
        </references>
      </pivotArea>
    </format>
    <format dxfId="336">
      <pivotArea dataOnly="0" labelOnly="1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5" count="1" selected="0">
            <x v="73"/>
          </reference>
          <reference field="7" count="1">
            <x v="8"/>
          </reference>
        </references>
      </pivotArea>
    </format>
    <format dxfId="335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"/>
          </reference>
          <reference field="7" count="1">
            <x v="6"/>
          </reference>
        </references>
      </pivotArea>
    </format>
    <format dxfId="334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5"/>
          </reference>
          <reference field="7" count="1">
            <x v="6"/>
          </reference>
        </references>
      </pivotArea>
    </format>
    <format dxfId="333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29"/>
          </reference>
          <reference field="7" count="1">
            <x v="7"/>
          </reference>
        </references>
      </pivotArea>
    </format>
    <format dxfId="332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43"/>
          </reference>
          <reference field="7" count="1">
            <x v="7"/>
          </reference>
        </references>
      </pivotArea>
    </format>
    <format dxfId="331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57"/>
          </reference>
          <reference field="7" count="1">
            <x v="8"/>
          </reference>
        </references>
      </pivotArea>
    </format>
    <format dxfId="330">
      <pivotArea dataOnly="0" labelOnly="1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5" count="1" selected="0">
            <x v="71"/>
          </reference>
          <reference field="7" count="1">
            <x v="8"/>
          </reference>
        </references>
      </pivotArea>
    </format>
    <format dxfId="329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8"/>
          </reference>
          <reference field="7" count="1">
            <x v="6"/>
          </reference>
        </references>
      </pivotArea>
    </format>
    <format dxfId="328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22"/>
          </reference>
          <reference field="7" count="1">
            <x v="7"/>
          </reference>
        </references>
      </pivotArea>
    </format>
    <format dxfId="327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36"/>
          </reference>
          <reference field="7" count="1">
            <x v="7"/>
          </reference>
        </references>
      </pivotArea>
    </format>
    <format dxfId="326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50"/>
          </reference>
          <reference field="7" count="1">
            <x v="8"/>
          </reference>
        </references>
      </pivotArea>
    </format>
    <format dxfId="325">
      <pivotArea dataOnly="0" labelOnly="1" fieldPosition="0">
        <references count="4">
          <reference field="0" count="1" selected="0">
            <x v="5"/>
          </reference>
          <reference field="1" count="1" selected="0">
            <x v="1"/>
          </reference>
          <reference field="5" count="1" selected="0">
            <x v="78"/>
          </reference>
          <reference field="7" count="1">
            <x v="8"/>
          </reference>
        </references>
      </pivotArea>
    </format>
    <format dxfId="324">
      <pivotArea dataOnly="0" labelOnly="1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5" count="1" selected="0">
            <x v="64"/>
          </reference>
          <reference field="7" count="1">
            <x v="8"/>
          </reference>
        </references>
      </pivotArea>
    </format>
    <format dxfId="323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12"/>
          </reference>
          <reference field="7" count="1">
            <x v="6"/>
          </reference>
        </references>
      </pivotArea>
    </format>
    <format dxfId="322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26"/>
          </reference>
          <reference field="7" count="1">
            <x v="7"/>
          </reference>
        </references>
      </pivotArea>
    </format>
    <format dxfId="321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40"/>
          </reference>
          <reference field="7" count="1">
            <x v="7"/>
          </reference>
        </references>
      </pivotArea>
    </format>
    <format dxfId="320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54"/>
          </reference>
          <reference field="7" count="1">
            <x v="8"/>
          </reference>
        </references>
      </pivotArea>
    </format>
    <format dxfId="319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68"/>
          </reference>
          <reference field="7" count="1">
            <x v="8"/>
          </reference>
        </references>
      </pivotArea>
    </format>
    <format dxfId="318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82"/>
          </reference>
          <reference field="7" count="1">
            <x v="9"/>
          </reference>
        </references>
      </pivotArea>
    </format>
    <format dxfId="317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5"/>
          </reference>
          <reference field="7" count="1">
            <x v="6"/>
          </reference>
        </references>
      </pivotArea>
    </format>
    <format dxfId="316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19"/>
          </reference>
          <reference field="7" count="1">
            <x v="7"/>
          </reference>
        </references>
      </pivotArea>
    </format>
    <format dxfId="315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33"/>
          </reference>
          <reference field="7" count="1">
            <x v="7"/>
          </reference>
        </references>
      </pivotArea>
    </format>
    <format dxfId="314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47"/>
          </reference>
          <reference field="7" count="1">
            <x v="7"/>
          </reference>
        </references>
      </pivotArea>
    </format>
    <format dxfId="313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75"/>
          </reference>
          <reference field="7" count="1">
            <x v="8"/>
          </reference>
        </references>
      </pivotArea>
    </format>
    <format dxfId="312">
      <pivotArea dataOnly="0" labelOnly="1" fieldPosition="0">
        <references count="4">
          <reference field="0" count="1" selected="0">
            <x v="7"/>
          </reference>
          <reference field="1" count="1" selected="0">
            <x v="2"/>
          </reference>
          <reference field="5" count="1" selected="0">
            <x v="61"/>
          </reference>
          <reference field="7" count="1">
            <x v="8"/>
          </reference>
        </references>
      </pivotArea>
    </format>
    <format dxfId="311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"/>
          </reference>
          <reference field="7" count="1">
            <x v="6"/>
          </reference>
        </references>
      </pivotArea>
    </format>
    <format dxfId="310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18"/>
          </reference>
          <reference field="7" count="1">
            <x v="7"/>
          </reference>
        </references>
      </pivotArea>
    </format>
    <format dxfId="309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32"/>
          </reference>
          <reference field="7" count="1">
            <x v="7"/>
          </reference>
        </references>
      </pivotArea>
    </format>
    <format dxfId="308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6"/>
          </reference>
          <reference field="7" count="1">
            <x v="7"/>
          </reference>
        </references>
      </pivotArea>
    </format>
    <format dxfId="307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60"/>
          </reference>
          <reference field="7" count="1">
            <x v="8"/>
          </reference>
        </references>
      </pivotArea>
    </format>
    <format dxfId="306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74"/>
          </reference>
          <reference field="7" count="1">
            <x v="8"/>
          </reference>
        </references>
      </pivotArea>
    </format>
    <format dxfId="305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10"/>
          </reference>
          <reference field="7" count="1">
            <x v="6"/>
          </reference>
        </references>
      </pivotArea>
    </format>
    <format dxfId="304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24"/>
          </reference>
          <reference field="7" count="1">
            <x v="7"/>
          </reference>
        </references>
      </pivotArea>
    </format>
    <format dxfId="303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38"/>
          </reference>
          <reference field="7" count="1">
            <x v="7"/>
          </reference>
        </references>
      </pivotArea>
    </format>
    <format dxfId="302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52"/>
          </reference>
          <reference field="7" count="1">
            <x v="8"/>
          </reference>
        </references>
      </pivotArea>
    </format>
    <format dxfId="301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80"/>
          </reference>
          <reference field="7" count="1">
            <x v="9"/>
          </reference>
        </references>
      </pivotArea>
    </format>
    <format dxfId="300">
      <pivotArea dataOnly="0" labelOnly="1" fieldPosition="0">
        <references count="4">
          <reference field="0" count="1" selected="0">
            <x v="9"/>
          </reference>
          <reference field="1" count="1" selected="0">
            <x v="2"/>
          </reference>
          <reference field="5" count="1" selected="0">
            <x v="66"/>
          </reference>
          <reference field="7" count="1">
            <x v="8"/>
          </reference>
        </references>
      </pivotArea>
    </format>
    <format dxfId="299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2"/>
          </reference>
          <reference field="7" count="1">
            <x v="6"/>
          </reference>
        </references>
      </pivotArea>
    </format>
    <format dxfId="298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16"/>
          </reference>
          <reference field="7" count="1">
            <x v="6"/>
          </reference>
        </references>
      </pivotArea>
    </format>
    <format dxfId="297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30"/>
          </reference>
          <reference field="7" count="1">
            <x v="7"/>
          </reference>
        </references>
      </pivotArea>
    </format>
    <format dxfId="296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44"/>
          </reference>
          <reference field="7" count="1">
            <x v="7"/>
          </reference>
        </references>
      </pivotArea>
    </format>
    <format dxfId="295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58"/>
          </reference>
          <reference field="7" count="1">
            <x v="8"/>
          </reference>
        </references>
      </pivotArea>
    </format>
    <format dxfId="294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72"/>
          </reference>
          <reference field="7" count="1">
            <x v="8"/>
          </reference>
        </references>
      </pivotArea>
    </format>
    <format dxfId="293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13"/>
          </reference>
          <reference field="7" count="1">
            <x v="6"/>
          </reference>
        </references>
      </pivotArea>
    </format>
    <format dxfId="292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27"/>
          </reference>
          <reference field="7" count="1">
            <x v="7"/>
          </reference>
        </references>
      </pivotArea>
    </format>
    <format dxfId="291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41"/>
          </reference>
          <reference field="7" count="1">
            <x v="7"/>
          </reference>
        </references>
      </pivotArea>
    </format>
    <format dxfId="290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55"/>
          </reference>
          <reference field="7" count="1">
            <x v="8"/>
          </reference>
        </references>
      </pivotArea>
    </format>
    <format dxfId="289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83"/>
          </reference>
          <reference field="7" count="1">
            <x v="9"/>
          </reference>
        </references>
      </pivotArea>
    </format>
    <format dxfId="288">
      <pivotArea dataOnly="0" labelOnly="1" fieldPosition="0">
        <references count="4">
          <reference field="0" count="1" selected="0">
            <x v="11"/>
          </reference>
          <reference field="1" count="1" selected="0">
            <x v="2"/>
          </reference>
          <reference field="5" count="1" selected="0">
            <x v="69"/>
          </reference>
          <reference field="7" count="1">
            <x v="8"/>
          </reference>
        </references>
      </pivotArea>
    </format>
    <format dxfId="287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6"/>
          </reference>
          <reference field="7" count="1">
            <x v="6"/>
          </reference>
        </references>
      </pivotArea>
    </format>
    <format dxfId="286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20"/>
          </reference>
          <reference field="7" count="1">
            <x v="7"/>
          </reference>
        </references>
      </pivotArea>
    </format>
    <format dxfId="285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34"/>
          </reference>
          <reference field="7" count="1">
            <x v="7"/>
          </reference>
        </references>
      </pivotArea>
    </format>
    <format dxfId="284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48"/>
          </reference>
          <reference field="7" count="1">
            <x v="8"/>
          </reference>
        </references>
      </pivotArea>
    </format>
    <format dxfId="283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76"/>
          </reference>
          <reference field="7" count="1">
            <x v="8"/>
          </reference>
        </references>
      </pivotArea>
    </format>
    <format dxfId="282">
      <pivotArea dataOnly="0" labelOnly="1" fieldPosition="0">
        <references count="4">
          <reference field="0" count="1" selected="0">
            <x v="12"/>
          </reference>
          <reference field="1" count="1" selected="0">
            <x v="2"/>
          </reference>
          <reference field="5" count="1" selected="0">
            <x v="62"/>
          </reference>
          <reference field="7" count="1">
            <x v="8"/>
          </reference>
        </references>
      </pivotArea>
    </format>
    <format dxfId="281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11"/>
          </reference>
          <reference field="7" count="1">
            <x v="6"/>
          </reference>
        </references>
      </pivotArea>
    </format>
    <format dxfId="280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25"/>
          </reference>
          <reference field="7" count="1">
            <x v="7"/>
          </reference>
        </references>
      </pivotArea>
    </format>
    <format dxfId="279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39"/>
          </reference>
          <reference field="7" count="1">
            <x v="7"/>
          </reference>
        </references>
      </pivotArea>
    </format>
    <format dxfId="278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53"/>
          </reference>
          <reference field="7" count="1">
            <x v="8"/>
          </reference>
        </references>
      </pivotArea>
    </format>
    <format dxfId="277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81"/>
          </reference>
          <reference field="7" count="1">
            <x v="9"/>
          </reference>
        </references>
      </pivotArea>
    </format>
    <format dxfId="276">
      <pivotArea dataOnly="0" labelOnly="1" fieldPosition="0">
        <references count="4">
          <reference field="0" count="1" selected="0">
            <x v="13"/>
          </reference>
          <reference field="1" count="1" selected="0">
            <x v="2"/>
          </reference>
          <reference field="5" count="1" selected="0">
            <x v="67"/>
          </reference>
          <reference field="7" count="1">
            <x v="8"/>
          </reference>
        </references>
      </pivotArea>
    </format>
    <format dxfId="275">
      <pivotArea type="all" dataOnly="0" outline="0" fieldPosition="0"/>
    </format>
    <format dxfId="274">
      <pivotArea outline="0" collapsedLevelsAreSubtotals="1" fieldPosition="0"/>
    </format>
    <format dxfId="273">
      <pivotArea dataOnly="0" labelOnly="1" fieldPosition="0">
        <references count="1">
          <reference field="0" count="0"/>
        </references>
      </pivotArea>
    </format>
    <format dxfId="272">
      <pivotArea dataOnly="0" labelOnly="1" grandRow="1" outline="0" fieldPosition="0"/>
    </format>
    <format dxfId="271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270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269">
      <pivotArea dataOnly="0" labelOnly="1" fieldPosition="0">
        <references count="2">
          <reference field="0" count="1" selected="0">
            <x v="2"/>
          </reference>
          <reference field="1" count="2">
            <x v="0"/>
            <x v="2"/>
          </reference>
        </references>
      </pivotArea>
    </format>
    <format dxfId="268">
      <pivotArea dataOnly="0" labelOnly="1" fieldPosition="0">
        <references count="2">
          <reference field="0" count="1" selected="0">
            <x v="3"/>
          </reference>
          <reference field="1" count="2">
            <x v="0"/>
            <x v="2"/>
          </reference>
        </references>
      </pivotArea>
    </format>
    <format dxfId="267">
      <pivotArea dataOnly="0" labelOnly="1" fieldPosition="0">
        <references count="2">
          <reference field="0" count="1" selected="0">
            <x v="4"/>
          </reference>
          <reference field="1" count="2">
            <x v="0"/>
            <x v="2"/>
          </reference>
        </references>
      </pivotArea>
    </format>
    <format dxfId="266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265">
      <pivotArea dataOnly="0" labelOnly="1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264">
      <pivotArea dataOnly="0" labelOnly="1" fieldPosition="0">
        <references count="2">
          <reference field="0" count="1" selected="0">
            <x v="7"/>
          </reference>
          <reference field="1" count="2">
            <x v="0"/>
            <x v="2"/>
          </reference>
        </references>
      </pivotArea>
    </format>
    <format dxfId="263">
      <pivotArea dataOnly="0" labelOnly="1" fieldPosition="0">
        <references count="2">
          <reference field="0" count="1" selected="0">
            <x v="8"/>
          </reference>
          <reference field="1" count="2">
            <x v="0"/>
            <x v="2"/>
          </reference>
        </references>
      </pivotArea>
    </format>
    <format dxfId="262">
      <pivotArea dataOnly="0" labelOnly="1" fieldPosition="0">
        <references count="2">
          <reference field="0" count="1" selected="0">
            <x v="9"/>
          </reference>
          <reference field="1" count="2">
            <x v="0"/>
            <x v="2"/>
          </reference>
        </references>
      </pivotArea>
    </format>
    <format dxfId="261">
      <pivotArea dataOnly="0" labelOnly="1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260">
      <pivotArea dataOnly="0" labelOnly="1" fieldPosition="0">
        <references count="2">
          <reference field="0" count="1" selected="0">
            <x v="11"/>
          </reference>
          <reference field="1" count="2">
            <x v="0"/>
            <x v="2"/>
          </reference>
        </references>
      </pivotArea>
    </format>
    <format dxfId="259">
      <pivotArea dataOnly="0" labelOnly="1" fieldPosition="0">
        <references count="2">
          <reference field="0" count="1" selected="0">
            <x v="12"/>
          </reference>
          <reference field="1" count="2">
            <x v="0"/>
            <x v="2"/>
          </reference>
        </references>
      </pivotArea>
    </format>
    <format dxfId="258">
      <pivotArea dataOnly="0" labelOnly="1" fieldPosition="0">
        <references count="2">
          <reference field="0" count="1" selected="0">
            <x v="13"/>
          </reference>
          <reference field="1" count="2">
            <x v="0"/>
            <x v="2"/>
          </reference>
        </references>
      </pivotArea>
    </format>
    <format dxfId="257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5" count="6">
            <x v="0"/>
            <x v="14"/>
            <x v="28"/>
            <x v="42"/>
            <x v="56"/>
            <x v="70"/>
          </reference>
        </references>
      </pivotArea>
    </format>
    <format dxfId="256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5" count="4">
            <x v="9"/>
            <x v="23"/>
            <x v="37"/>
            <x v="51"/>
          </reference>
        </references>
      </pivotArea>
    </format>
    <format dxfId="255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5" count="1">
            <x v="79"/>
          </reference>
        </references>
      </pivotArea>
    </format>
    <format dxfId="254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5" count="1">
            <x v="65"/>
          </reference>
        </references>
      </pivotArea>
    </format>
    <format dxfId="253">
      <pivotArea dataOnly="0" labelOnly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5" count="4">
            <x v="7"/>
            <x v="21"/>
            <x v="35"/>
            <x v="49"/>
          </reference>
        </references>
      </pivotArea>
    </format>
    <format dxfId="252">
      <pivotArea dataOnly="0" labelOnly="1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5" count="2">
            <x v="63"/>
            <x v="77"/>
          </reference>
        </references>
      </pivotArea>
    </format>
    <format dxfId="251">
      <pivotArea dataOnly="0" labelOnly="1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5" count="5">
            <x v="3"/>
            <x v="17"/>
            <x v="31"/>
            <x v="45"/>
            <x v="59"/>
          </reference>
        </references>
      </pivotArea>
    </format>
    <format dxfId="250">
      <pivotArea dataOnly="0" labelOnly="1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5" count="1">
            <x v="73"/>
          </reference>
        </references>
      </pivotArea>
    </format>
    <format dxfId="249">
      <pivotArea dataOnly="0" labelOnly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5" count="5">
            <x v="1"/>
            <x v="15"/>
            <x v="29"/>
            <x v="43"/>
            <x v="57"/>
          </reference>
        </references>
      </pivotArea>
    </format>
    <format dxfId="248">
      <pivotArea dataOnly="0" labelOnly="1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5" count="1">
            <x v="71"/>
          </reference>
        </references>
      </pivotArea>
    </format>
    <format dxfId="247">
      <pivotArea dataOnly="0" labelOnly="1" fieldPosition="0">
        <references count="3">
          <reference field="0" count="1" selected="0">
            <x v="5"/>
          </reference>
          <reference field="1" count="1" selected="0">
            <x v="0"/>
          </reference>
          <reference field="5" count="4">
            <x v="8"/>
            <x v="22"/>
            <x v="36"/>
            <x v="50"/>
          </reference>
        </references>
      </pivotArea>
    </format>
    <format dxfId="246">
      <pivotArea dataOnly="0" labelOnly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5" count="1">
            <x v="78"/>
          </reference>
        </references>
      </pivotArea>
    </format>
    <format dxfId="245">
      <pivotArea dataOnly="0" labelOnly="1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5" count="1">
            <x v="64"/>
          </reference>
        </references>
      </pivotArea>
    </format>
    <format dxfId="244">
      <pivotArea dataOnly="0" labelOnly="1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5" count="6">
            <x v="12"/>
            <x v="26"/>
            <x v="40"/>
            <x v="54"/>
            <x v="68"/>
            <x v="82"/>
          </reference>
        </references>
      </pivotArea>
    </format>
    <format dxfId="243">
      <pivotArea dataOnly="0" labelOnly="1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5" count="5">
            <x v="5"/>
            <x v="19"/>
            <x v="33"/>
            <x v="47"/>
            <x v="75"/>
          </reference>
        </references>
      </pivotArea>
    </format>
    <format dxfId="242">
      <pivotArea dataOnly="0" labelOnly="1" fieldPosition="0">
        <references count="3">
          <reference field="0" count="1" selected="0">
            <x v="7"/>
          </reference>
          <reference field="1" count="1" selected="0">
            <x v="2"/>
          </reference>
          <reference field="5" count="1">
            <x v="61"/>
          </reference>
        </references>
      </pivotArea>
    </format>
    <format dxfId="241">
      <pivotArea dataOnly="0" labelOnly="1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5" count="4">
            <x v="4"/>
            <x v="18"/>
            <x v="32"/>
            <x v="46"/>
          </reference>
        </references>
      </pivotArea>
    </format>
    <format dxfId="240">
      <pivotArea dataOnly="0" labelOnly="1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5" count="2">
            <x v="60"/>
            <x v="74"/>
          </reference>
        </references>
      </pivotArea>
    </format>
    <format dxfId="239">
      <pivotArea dataOnly="0" labelOnly="1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5" count="5">
            <x v="10"/>
            <x v="24"/>
            <x v="38"/>
            <x v="52"/>
            <x v="80"/>
          </reference>
        </references>
      </pivotArea>
    </format>
    <format dxfId="238">
      <pivotArea dataOnly="0" labelOnly="1" fieldPosition="0">
        <references count="3">
          <reference field="0" count="1" selected="0">
            <x v="9"/>
          </reference>
          <reference field="1" count="1" selected="0">
            <x v="2"/>
          </reference>
          <reference field="5" count="1">
            <x v="66"/>
          </reference>
        </references>
      </pivotArea>
    </format>
    <format dxfId="237">
      <pivotArea dataOnly="0" labelOnly="1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5" count="6">
            <x v="2"/>
            <x v="16"/>
            <x v="30"/>
            <x v="44"/>
            <x v="58"/>
            <x v="72"/>
          </reference>
        </references>
      </pivotArea>
    </format>
    <format dxfId="236">
      <pivotArea dataOnly="0" labelOnly="1" fieldPosition="0">
        <references count="3">
          <reference field="0" count="1" selected="0">
            <x v="11"/>
          </reference>
          <reference field="1" count="1" selected="0">
            <x v="0"/>
          </reference>
          <reference field="5" count="5">
            <x v="13"/>
            <x v="27"/>
            <x v="41"/>
            <x v="55"/>
            <x v="83"/>
          </reference>
        </references>
      </pivotArea>
    </format>
    <format dxfId="235">
      <pivotArea dataOnly="0" labelOnly="1" fieldPosition="0">
        <references count="3">
          <reference field="0" count="1" selected="0">
            <x v="11"/>
          </reference>
          <reference field="1" count="1" selected="0">
            <x v="2"/>
          </reference>
          <reference field="5" count="1">
            <x v="69"/>
          </reference>
        </references>
      </pivotArea>
    </format>
    <format dxfId="234">
      <pivotArea dataOnly="0" labelOnly="1" fieldPosition="0">
        <references count="3">
          <reference field="0" count="1" selected="0">
            <x v="12"/>
          </reference>
          <reference field="1" count="1" selected="0">
            <x v="0"/>
          </reference>
          <reference field="5" count="5">
            <x v="6"/>
            <x v="20"/>
            <x v="34"/>
            <x v="48"/>
            <x v="76"/>
          </reference>
        </references>
      </pivotArea>
    </format>
    <format dxfId="233">
      <pivotArea dataOnly="0" labelOnly="1" fieldPosition="0">
        <references count="3">
          <reference field="0" count="1" selected="0">
            <x v="12"/>
          </reference>
          <reference field="1" count="1" selected="0">
            <x v="2"/>
          </reference>
          <reference field="5" count="1">
            <x v="62"/>
          </reference>
        </references>
      </pivotArea>
    </format>
    <format dxfId="232">
      <pivotArea dataOnly="0" labelOnly="1" fieldPosition="0">
        <references count="3">
          <reference field="0" count="1" selected="0">
            <x v="13"/>
          </reference>
          <reference field="1" count="1" selected="0">
            <x v="0"/>
          </reference>
          <reference field="5" count="5">
            <x v="11"/>
            <x v="25"/>
            <x v="39"/>
            <x v="53"/>
            <x v="81"/>
          </reference>
        </references>
      </pivotArea>
    </format>
    <format dxfId="231">
      <pivotArea dataOnly="0" labelOnly="1" fieldPosition="0">
        <references count="3">
          <reference field="0" count="1" selected="0">
            <x v="13"/>
          </reference>
          <reference field="1" count="1" selected="0">
            <x v="2"/>
          </reference>
          <reference field="5" count="1">
            <x v="67"/>
          </reference>
        </references>
      </pivotArea>
    </format>
    <format dxfId="230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  <reference field="7" count="1">
            <x v="6"/>
          </reference>
        </references>
      </pivotArea>
    </format>
    <format dxfId="229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14"/>
          </reference>
          <reference field="7" count="1">
            <x v="6"/>
          </reference>
        </references>
      </pivotArea>
    </format>
    <format dxfId="228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28"/>
          </reference>
          <reference field="7" count="1">
            <x v="7"/>
          </reference>
        </references>
      </pivotArea>
    </format>
    <format dxfId="227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42"/>
          </reference>
          <reference field="7" count="1">
            <x v="7"/>
          </reference>
        </references>
      </pivotArea>
    </format>
    <format dxfId="226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56"/>
          </reference>
          <reference field="7" count="1">
            <x v="8"/>
          </reference>
        </references>
      </pivotArea>
    </format>
    <format dxfId="225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70"/>
          </reference>
          <reference field="7" count="1">
            <x v="8"/>
          </reference>
        </references>
      </pivotArea>
    </format>
    <format dxfId="224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9"/>
          </reference>
          <reference field="7" count="1">
            <x v="6"/>
          </reference>
        </references>
      </pivotArea>
    </format>
    <format dxfId="223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23"/>
          </reference>
          <reference field="7" count="1">
            <x v="7"/>
          </reference>
        </references>
      </pivotArea>
    </format>
    <format dxfId="222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37"/>
          </reference>
          <reference field="7" count="1">
            <x v="7"/>
          </reference>
        </references>
      </pivotArea>
    </format>
    <format dxfId="221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51"/>
          </reference>
          <reference field="7" count="1">
            <x v="8"/>
          </reference>
        </references>
      </pivotArea>
    </format>
    <format dxfId="220">
      <pivotArea dataOnly="0" labelOnly="1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5" count="1" selected="0">
            <x v="79"/>
          </reference>
          <reference field="7" count="1">
            <x v="9"/>
          </reference>
        </references>
      </pivotArea>
    </format>
    <format dxfId="219">
      <pivotArea dataOnly="0" labelOnly="1" fieldPosition="0">
        <references count="4">
          <reference field="0" count="1" selected="0">
            <x v="1"/>
          </reference>
          <reference field="1" count="1" selected="0">
            <x v="2"/>
          </reference>
          <reference field="5" count="1" selected="0">
            <x v="65"/>
          </reference>
          <reference field="7" count="1">
            <x v="8"/>
          </reference>
        </references>
      </pivotArea>
    </format>
    <format dxfId="218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7"/>
          </reference>
          <reference field="7" count="1">
            <x v="6"/>
          </reference>
        </references>
      </pivotArea>
    </format>
    <format dxfId="217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21"/>
          </reference>
          <reference field="7" count="1">
            <x v="7"/>
          </reference>
        </references>
      </pivotArea>
    </format>
    <format dxfId="216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35"/>
          </reference>
          <reference field="7" count="1">
            <x v="7"/>
          </reference>
        </references>
      </pivotArea>
    </format>
    <format dxfId="215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49"/>
          </reference>
          <reference field="7" count="1">
            <x v="8"/>
          </reference>
        </references>
      </pivotArea>
    </format>
    <format dxfId="214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63"/>
          </reference>
          <reference field="7" count="1">
            <x v="8"/>
          </reference>
        </references>
      </pivotArea>
    </format>
    <format dxfId="213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77"/>
          </reference>
          <reference field="7" count="1">
            <x v="8"/>
          </reference>
        </references>
      </pivotArea>
    </format>
    <format dxfId="212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"/>
          </reference>
          <reference field="7" count="1">
            <x v="6"/>
          </reference>
        </references>
      </pivotArea>
    </format>
    <format dxfId="211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17"/>
          </reference>
          <reference field="7" count="1">
            <x v="7"/>
          </reference>
        </references>
      </pivotArea>
    </format>
    <format dxfId="210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1"/>
          </reference>
          <reference field="7" count="1">
            <x v="7"/>
          </reference>
        </references>
      </pivotArea>
    </format>
    <format dxfId="209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45"/>
          </reference>
          <reference field="7" count="1">
            <x v="7"/>
          </reference>
        </references>
      </pivotArea>
    </format>
    <format dxfId="208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59"/>
          </reference>
          <reference field="7" count="1">
            <x v="8"/>
          </reference>
        </references>
      </pivotArea>
    </format>
    <format dxfId="207">
      <pivotArea dataOnly="0" labelOnly="1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5" count="1" selected="0">
            <x v="73"/>
          </reference>
          <reference field="7" count="1">
            <x v="8"/>
          </reference>
        </references>
      </pivotArea>
    </format>
    <format dxfId="206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"/>
          </reference>
          <reference field="7" count="1">
            <x v="6"/>
          </reference>
        </references>
      </pivotArea>
    </format>
    <format dxfId="205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5"/>
          </reference>
          <reference field="7" count="1">
            <x v="6"/>
          </reference>
        </references>
      </pivotArea>
    </format>
    <format dxfId="204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29"/>
          </reference>
          <reference field="7" count="1">
            <x v="7"/>
          </reference>
        </references>
      </pivotArea>
    </format>
    <format dxfId="203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43"/>
          </reference>
          <reference field="7" count="1">
            <x v="7"/>
          </reference>
        </references>
      </pivotArea>
    </format>
    <format dxfId="202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57"/>
          </reference>
          <reference field="7" count="1">
            <x v="8"/>
          </reference>
        </references>
      </pivotArea>
    </format>
    <format dxfId="201">
      <pivotArea dataOnly="0" labelOnly="1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5" count="1" selected="0">
            <x v="71"/>
          </reference>
          <reference field="7" count="1">
            <x v="8"/>
          </reference>
        </references>
      </pivotArea>
    </format>
    <format dxfId="200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8"/>
          </reference>
          <reference field="7" count="1">
            <x v="6"/>
          </reference>
        </references>
      </pivotArea>
    </format>
    <format dxfId="199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22"/>
          </reference>
          <reference field="7" count="1">
            <x v="7"/>
          </reference>
        </references>
      </pivotArea>
    </format>
    <format dxfId="198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36"/>
          </reference>
          <reference field="7" count="1">
            <x v="7"/>
          </reference>
        </references>
      </pivotArea>
    </format>
    <format dxfId="197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50"/>
          </reference>
          <reference field="7" count="1">
            <x v="8"/>
          </reference>
        </references>
      </pivotArea>
    </format>
    <format dxfId="196">
      <pivotArea dataOnly="0" labelOnly="1" fieldPosition="0">
        <references count="4">
          <reference field="0" count="1" selected="0">
            <x v="5"/>
          </reference>
          <reference field="1" count="1" selected="0">
            <x v="1"/>
          </reference>
          <reference field="5" count="1" selected="0">
            <x v="78"/>
          </reference>
          <reference field="7" count="1">
            <x v="8"/>
          </reference>
        </references>
      </pivotArea>
    </format>
    <format dxfId="195">
      <pivotArea dataOnly="0" labelOnly="1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5" count="1" selected="0">
            <x v="64"/>
          </reference>
          <reference field="7" count="1">
            <x v="8"/>
          </reference>
        </references>
      </pivotArea>
    </format>
    <format dxfId="194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12"/>
          </reference>
          <reference field="7" count="1">
            <x v="6"/>
          </reference>
        </references>
      </pivotArea>
    </format>
    <format dxfId="193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26"/>
          </reference>
          <reference field="7" count="1">
            <x v="7"/>
          </reference>
        </references>
      </pivotArea>
    </format>
    <format dxfId="192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40"/>
          </reference>
          <reference field="7" count="1">
            <x v="7"/>
          </reference>
        </references>
      </pivotArea>
    </format>
    <format dxfId="191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54"/>
          </reference>
          <reference field="7" count="1">
            <x v="8"/>
          </reference>
        </references>
      </pivotArea>
    </format>
    <format dxfId="190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68"/>
          </reference>
          <reference field="7" count="1">
            <x v="8"/>
          </reference>
        </references>
      </pivotArea>
    </format>
    <format dxfId="189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82"/>
          </reference>
          <reference field="7" count="1">
            <x v="9"/>
          </reference>
        </references>
      </pivotArea>
    </format>
    <format dxfId="188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5"/>
          </reference>
          <reference field="7" count="1">
            <x v="6"/>
          </reference>
        </references>
      </pivotArea>
    </format>
    <format dxfId="187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19"/>
          </reference>
          <reference field="7" count="1">
            <x v="7"/>
          </reference>
        </references>
      </pivotArea>
    </format>
    <format dxfId="186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33"/>
          </reference>
          <reference field="7" count="1">
            <x v="7"/>
          </reference>
        </references>
      </pivotArea>
    </format>
    <format dxfId="185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47"/>
          </reference>
          <reference field="7" count="1">
            <x v="7"/>
          </reference>
        </references>
      </pivotArea>
    </format>
    <format dxfId="184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75"/>
          </reference>
          <reference field="7" count="1">
            <x v="8"/>
          </reference>
        </references>
      </pivotArea>
    </format>
    <format dxfId="183">
      <pivotArea dataOnly="0" labelOnly="1" fieldPosition="0">
        <references count="4">
          <reference field="0" count="1" selected="0">
            <x v="7"/>
          </reference>
          <reference field="1" count="1" selected="0">
            <x v="2"/>
          </reference>
          <reference field="5" count="1" selected="0">
            <x v="61"/>
          </reference>
          <reference field="7" count="1">
            <x v="8"/>
          </reference>
        </references>
      </pivotArea>
    </format>
    <format dxfId="182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"/>
          </reference>
          <reference field="7" count="1">
            <x v="6"/>
          </reference>
        </references>
      </pivotArea>
    </format>
    <format dxfId="181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18"/>
          </reference>
          <reference field="7" count="1">
            <x v="7"/>
          </reference>
        </references>
      </pivotArea>
    </format>
    <format dxfId="180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32"/>
          </reference>
          <reference field="7" count="1">
            <x v="7"/>
          </reference>
        </references>
      </pivotArea>
    </format>
    <format dxfId="179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6"/>
          </reference>
          <reference field="7" count="1">
            <x v="7"/>
          </reference>
        </references>
      </pivotArea>
    </format>
    <format dxfId="178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60"/>
          </reference>
          <reference field="7" count="1">
            <x v="8"/>
          </reference>
        </references>
      </pivotArea>
    </format>
    <format dxfId="177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74"/>
          </reference>
          <reference field="7" count="1">
            <x v="8"/>
          </reference>
        </references>
      </pivotArea>
    </format>
    <format dxfId="176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10"/>
          </reference>
          <reference field="7" count="1">
            <x v="6"/>
          </reference>
        </references>
      </pivotArea>
    </format>
    <format dxfId="175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24"/>
          </reference>
          <reference field="7" count="1">
            <x v="7"/>
          </reference>
        </references>
      </pivotArea>
    </format>
    <format dxfId="174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38"/>
          </reference>
          <reference field="7" count="1">
            <x v="7"/>
          </reference>
        </references>
      </pivotArea>
    </format>
    <format dxfId="173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52"/>
          </reference>
          <reference field="7" count="1">
            <x v="8"/>
          </reference>
        </references>
      </pivotArea>
    </format>
    <format dxfId="172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80"/>
          </reference>
          <reference field="7" count="1">
            <x v="9"/>
          </reference>
        </references>
      </pivotArea>
    </format>
    <format dxfId="171">
      <pivotArea dataOnly="0" labelOnly="1" fieldPosition="0">
        <references count="4">
          <reference field="0" count="1" selected="0">
            <x v="9"/>
          </reference>
          <reference field="1" count="1" selected="0">
            <x v="2"/>
          </reference>
          <reference field="5" count="1" selected="0">
            <x v="66"/>
          </reference>
          <reference field="7" count="1">
            <x v="8"/>
          </reference>
        </references>
      </pivotArea>
    </format>
    <format dxfId="170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2"/>
          </reference>
          <reference field="7" count="1">
            <x v="6"/>
          </reference>
        </references>
      </pivotArea>
    </format>
    <format dxfId="169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16"/>
          </reference>
          <reference field="7" count="1">
            <x v="6"/>
          </reference>
        </references>
      </pivotArea>
    </format>
    <format dxfId="168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30"/>
          </reference>
          <reference field="7" count="1">
            <x v="7"/>
          </reference>
        </references>
      </pivotArea>
    </format>
    <format dxfId="167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44"/>
          </reference>
          <reference field="7" count="1">
            <x v="7"/>
          </reference>
        </references>
      </pivotArea>
    </format>
    <format dxfId="166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58"/>
          </reference>
          <reference field="7" count="1">
            <x v="8"/>
          </reference>
        </references>
      </pivotArea>
    </format>
    <format dxfId="165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72"/>
          </reference>
          <reference field="7" count="1">
            <x v="8"/>
          </reference>
        </references>
      </pivotArea>
    </format>
    <format dxfId="164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13"/>
          </reference>
          <reference field="7" count="1">
            <x v="6"/>
          </reference>
        </references>
      </pivotArea>
    </format>
    <format dxfId="163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27"/>
          </reference>
          <reference field="7" count="1">
            <x v="7"/>
          </reference>
        </references>
      </pivotArea>
    </format>
    <format dxfId="162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41"/>
          </reference>
          <reference field="7" count="1">
            <x v="7"/>
          </reference>
        </references>
      </pivotArea>
    </format>
    <format dxfId="161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55"/>
          </reference>
          <reference field="7" count="1">
            <x v="8"/>
          </reference>
        </references>
      </pivotArea>
    </format>
    <format dxfId="160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83"/>
          </reference>
          <reference field="7" count="1">
            <x v="9"/>
          </reference>
        </references>
      </pivotArea>
    </format>
    <format dxfId="159">
      <pivotArea dataOnly="0" labelOnly="1" fieldPosition="0">
        <references count="4">
          <reference field="0" count="1" selected="0">
            <x v="11"/>
          </reference>
          <reference field="1" count="1" selected="0">
            <x v="2"/>
          </reference>
          <reference field="5" count="1" selected="0">
            <x v="69"/>
          </reference>
          <reference field="7" count="1">
            <x v="8"/>
          </reference>
        </references>
      </pivotArea>
    </format>
    <format dxfId="158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6"/>
          </reference>
          <reference field="7" count="1">
            <x v="6"/>
          </reference>
        </references>
      </pivotArea>
    </format>
    <format dxfId="157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20"/>
          </reference>
          <reference field="7" count="1">
            <x v="7"/>
          </reference>
        </references>
      </pivotArea>
    </format>
    <format dxfId="156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34"/>
          </reference>
          <reference field="7" count="1">
            <x v="7"/>
          </reference>
        </references>
      </pivotArea>
    </format>
    <format dxfId="155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48"/>
          </reference>
          <reference field="7" count="1">
            <x v="8"/>
          </reference>
        </references>
      </pivotArea>
    </format>
    <format dxfId="154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76"/>
          </reference>
          <reference field="7" count="1">
            <x v="8"/>
          </reference>
        </references>
      </pivotArea>
    </format>
    <format dxfId="153">
      <pivotArea dataOnly="0" labelOnly="1" fieldPosition="0">
        <references count="4">
          <reference field="0" count="1" selected="0">
            <x v="12"/>
          </reference>
          <reference field="1" count="1" selected="0">
            <x v="2"/>
          </reference>
          <reference field="5" count="1" selected="0">
            <x v="62"/>
          </reference>
          <reference field="7" count="1">
            <x v="8"/>
          </reference>
        </references>
      </pivotArea>
    </format>
    <format dxfId="152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11"/>
          </reference>
          <reference field="7" count="1">
            <x v="6"/>
          </reference>
        </references>
      </pivotArea>
    </format>
    <format dxfId="151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25"/>
          </reference>
          <reference field="7" count="1">
            <x v="7"/>
          </reference>
        </references>
      </pivotArea>
    </format>
    <format dxfId="150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39"/>
          </reference>
          <reference field="7" count="1">
            <x v="7"/>
          </reference>
        </references>
      </pivotArea>
    </format>
    <format dxfId="149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53"/>
          </reference>
          <reference field="7" count="1">
            <x v="8"/>
          </reference>
        </references>
      </pivotArea>
    </format>
    <format dxfId="148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81"/>
          </reference>
          <reference field="7" count="1">
            <x v="9"/>
          </reference>
        </references>
      </pivotArea>
    </format>
    <format dxfId="147">
      <pivotArea dataOnly="0" labelOnly="1" fieldPosition="0">
        <references count="4">
          <reference field="0" count="1" selected="0">
            <x v="13"/>
          </reference>
          <reference field="1" count="1" selected="0">
            <x v="2"/>
          </reference>
          <reference field="5" count="1" selected="0">
            <x v="67"/>
          </reference>
          <reference field="7" count="1">
            <x v="8"/>
          </reference>
        </references>
      </pivotArea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0" type="button" dataOnly="0" labelOnly="1" outline="0" axis="axisRow" fieldPosition="0"/>
    </format>
    <format dxfId="143">
      <pivotArea dataOnly="0" labelOnly="1" fieldPosition="0">
        <references count="1">
          <reference field="0" count="0"/>
        </references>
      </pivotArea>
    </format>
    <format dxfId="142">
      <pivotArea dataOnly="0" labelOnly="1" grandRow="1" outline="0" fieldPosition="0"/>
    </format>
    <format dxfId="141">
      <pivotArea dataOnly="0" labelOnly="1" fieldPosition="0">
        <references count="2">
          <reference field="0" count="1" selected="0">
            <x v="0"/>
          </reference>
          <reference field="1" count="1">
            <x v="0"/>
          </reference>
        </references>
      </pivotArea>
    </format>
    <format dxfId="140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139">
      <pivotArea dataOnly="0" labelOnly="1" fieldPosition="0">
        <references count="2">
          <reference field="0" count="1" selected="0">
            <x v="2"/>
          </reference>
          <reference field="1" count="2">
            <x v="0"/>
            <x v="2"/>
          </reference>
        </references>
      </pivotArea>
    </format>
    <format dxfId="138">
      <pivotArea dataOnly="0" labelOnly="1" fieldPosition="0">
        <references count="2">
          <reference field="0" count="1" selected="0">
            <x v="3"/>
          </reference>
          <reference field="1" count="2">
            <x v="0"/>
            <x v="2"/>
          </reference>
        </references>
      </pivotArea>
    </format>
    <format dxfId="137">
      <pivotArea dataOnly="0" labelOnly="1" fieldPosition="0">
        <references count="2">
          <reference field="0" count="1" selected="0">
            <x v="4"/>
          </reference>
          <reference field="1" count="2">
            <x v="0"/>
            <x v="2"/>
          </reference>
        </references>
      </pivotArea>
    </format>
    <format dxfId="136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135">
      <pivotArea dataOnly="0" labelOnly="1" fieldPosition="0">
        <references count="2">
          <reference field="0" count="1" selected="0">
            <x v="6"/>
          </reference>
          <reference field="1" count="1">
            <x v="0"/>
          </reference>
        </references>
      </pivotArea>
    </format>
    <format dxfId="134">
      <pivotArea dataOnly="0" labelOnly="1" fieldPosition="0">
        <references count="2">
          <reference field="0" count="1" selected="0">
            <x v="7"/>
          </reference>
          <reference field="1" count="2">
            <x v="0"/>
            <x v="2"/>
          </reference>
        </references>
      </pivotArea>
    </format>
    <format dxfId="133">
      <pivotArea dataOnly="0" labelOnly="1" fieldPosition="0">
        <references count="2">
          <reference field="0" count="1" selected="0">
            <x v="8"/>
          </reference>
          <reference field="1" count="2">
            <x v="0"/>
            <x v="2"/>
          </reference>
        </references>
      </pivotArea>
    </format>
    <format dxfId="132">
      <pivotArea dataOnly="0" labelOnly="1" fieldPosition="0">
        <references count="2">
          <reference field="0" count="1" selected="0">
            <x v="9"/>
          </reference>
          <reference field="1" count="2">
            <x v="0"/>
            <x v="2"/>
          </reference>
        </references>
      </pivotArea>
    </format>
    <format dxfId="131">
      <pivotArea dataOnly="0" labelOnly="1" fieldPosition="0">
        <references count="2">
          <reference field="0" count="1" selected="0">
            <x v="10"/>
          </reference>
          <reference field="1" count="1">
            <x v="0"/>
          </reference>
        </references>
      </pivotArea>
    </format>
    <format dxfId="130">
      <pivotArea dataOnly="0" labelOnly="1" fieldPosition="0">
        <references count="2">
          <reference field="0" count="1" selected="0">
            <x v="11"/>
          </reference>
          <reference field="1" count="2">
            <x v="0"/>
            <x v="2"/>
          </reference>
        </references>
      </pivotArea>
    </format>
    <format dxfId="129">
      <pivotArea dataOnly="0" labelOnly="1" fieldPosition="0">
        <references count="2">
          <reference field="0" count="1" selected="0">
            <x v="12"/>
          </reference>
          <reference field="1" count="2">
            <x v="0"/>
            <x v="2"/>
          </reference>
        </references>
      </pivotArea>
    </format>
    <format dxfId="128">
      <pivotArea dataOnly="0" labelOnly="1" fieldPosition="0">
        <references count="2">
          <reference field="0" count="1" selected="0">
            <x v="13"/>
          </reference>
          <reference field="1" count="2">
            <x v="0"/>
            <x v="2"/>
          </reference>
        </references>
      </pivotArea>
    </format>
    <format dxfId="127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5" count="6">
            <x v="0"/>
            <x v="14"/>
            <x v="28"/>
            <x v="42"/>
            <x v="56"/>
            <x v="70"/>
          </reference>
        </references>
      </pivotArea>
    </format>
    <format dxfId="126">
      <pivotArea dataOnly="0" labelOnly="1" fieldPosition="0">
        <references count="3">
          <reference field="0" count="1" selected="0">
            <x v="1"/>
          </reference>
          <reference field="1" count="1" selected="0">
            <x v="0"/>
          </reference>
          <reference field="5" count="4">
            <x v="9"/>
            <x v="23"/>
            <x v="37"/>
            <x v="51"/>
          </reference>
        </references>
      </pivotArea>
    </format>
    <format dxfId="125">
      <pivotArea dataOnly="0" labelOnly="1" fieldPosition="0">
        <references count="3">
          <reference field="0" count="1" selected="0">
            <x v="1"/>
          </reference>
          <reference field="1" count="1" selected="0">
            <x v="1"/>
          </reference>
          <reference field="5" count="1">
            <x v="79"/>
          </reference>
        </references>
      </pivotArea>
    </format>
    <format dxfId="124">
      <pivotArea dataOnly="0" labelOnly="1" fieldPosition="0">
        <references count="3">
          <reference field="0" count="1" selected="0">
            <x v="1"/>
          </reference>
          <reference field="1" count="1" selected="0">
            <x v="2"/>
          </reference>
          <reference field="5" count="1">
            <x v="65"/>
          </reference>
        </references>
      </pivotArea>
    </format>
    <format dxfId="123">
      <pivotArea dataOnly="0" labelOnly="1" fieldPosition="0">
        <references count="3">
          <reference field="0" count="1" selected="0">
            <x v="2"/>
          </reference>
          <reference field="1" count="1" selected="0">
            <x v="0"/>
          </reference>
          <reference field="5" count="4">
            <x v="7"/>
            <x v="21"/>
            <x v="35"/>
            <x v="49"/>
          </reference>
        </references>
      </pivotArea>
    </format>
    <format dxfId="122">
      <pivotArea dataOnly="0" labelOnly="1" fieldPosition="0">
        <references count="3">
          <reference field="0" count="1" selected="0">
            <x v="2"/>
          </reference>
          <reference field="1" count="1" selected="0">
            <x v="2"/>
          </reference>
          <reference field="5" count="2">
            <x v="63"/>
            <x v="77"/>
          </reference>
        </references>
      </pivotArea>
    </format>
    <format dxfId="121">
      <pivotArea dataOnly="0" labelOnly="1" fieldPosition="0">
        <references count="3">
          <reference field="0" count="1" selected="0">
            <x v="3"/>
          </reference>
          <reference field="1" count="1" selected="0">
            <x v="0"/>
          </reference>
          <reference field="5" count="5">
            <x v="3"/>
            <x v="17"/>
            <x v="31"/>
            <x v="45"/>
            <x v="59"/>
          </reference>
        </references>
      </pivotArea>
    </format>
    <format dxfId="120">
      <pivotArea dataOnly="0" labelOnly="1" fieldPosition="0">
        <references count="3">
          <reference field="0" count="1" selected="0">
            <x v="3"/>
          </reference>
          <reference field="1" count="1" selected="0">
            <x v="2"/>
          </reference>
          <reference field="5" count="1">
            <x v="73"/>
          </reference>
        </references>
      </pivotArea>
    </format>
    <format dxfId="119">
      <pivotArea dataOnly="0" labelOnly="1" fieldPosition="0">
        <references count="3">
          <reference field="0" count="1" selected="0">
            <x v="4"/>
          </reference>
          <reference field="1" count="1" selected="0">
            <x v="0"/>
          </reference>
          <reference field="5" count="5">
            <x v="1"/>
            <x v="15"/>
            <x v="29"/>
            <x v="43"/>
            <x v="57"/>
          </reference>
        </references>
      </pivotArea>
    </format>
    <format dxfId="118">
      <pivotArea dataOnly="0" labelOnly="1" fieldPosition="0">
        <references count="3">
          <reference field="0" count="1" selected="0">
            <x v="4"/>
          </reference>
          <reference field="1" count="1" selected="0">
            <x v="2"/>
          </reference>
          <reference field="5" count="1">
            <x v="71"/>
          </reference>
        </references>
      </pivotArea>
    </format>
    <format dxfId="117">
      <pivotArea dataOnly="0" labelOnly="1" fieldPosition="0">
        <references count="3">
          <reference field="0" count="1" selected="0">
            <x v="5"/>
          </reference>
          <reference field="1" count="1" selected="0">
            <x v="0"/>
          </reference>
          <reference field="5" count="4">
            <x v="8"/>
            <x v="22"/>
            <x v="36"/>
            <x v="50"/>
          </reference>
        </references>
      </pivotArea>
    </format>
    <format dxfId="116">
      <pivotArea dataOnly="0" labelOnly="1" fieldPosition="0">
        <references count="3">
          <reference field="0" count="1" selected="0">
            <x v="5"/>
          </reference>
          <reference field="1" count="1" selected="0">
            <x v="1"/>
          </reference>
          <reference field="5" count="1">
            <x v="78"/>
          </reference>
        </references>
      </pivotArea>
    </format>
    <format dxfId="115">
      <pivotArea dataOnly="0" labelOnly="1" fieldPosition="0">
        <references count="3">
          <reference field="0" count="1" selected="0">
            <x v="5"/>
          </reference>
          <reference field="1" count="1" selected="0">
            <x v="2"/>
          </reference>
          <reference field="5" count="1">
            <x v="64"/>
          </reference>
        </references>
      </pivotArea>
    </format>
    <format dxfId="114">
      <pivotArea dataOnly="0" labelOnly="1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5" count="6">
            <x v="12"/>
            <x v="26"/>
            <x v="40"/>
            <x v="54"/>
            <x v="68"/>
            <x v="82"/>
          </reference>
        </references>
      </pivotArea>
    </format>
    <format dxfId="113">
      <pivotArea dataOnly="0" labelOnly="1" fieldPosition="0">
        <references count="3">
          <reference field="0" count="1" selected="0">
            <x v="7"/>
          </reference>
          <reference field="1" count="1" selected="0">
            <x v="0"/>
          </reference>
          <reference field="5" count="5">
            <x v="5"/>
            <x v="19"/>
            <x v="33"/>
            <x v="47"/>
            <x v="75"/>
          </reference>
        </references>
      </pivotArea>
    </format>
    <format dxfId="112">
      <pivotArea dataOnly="0" labelOnly="1" fieldPosition="0">
        <references count="3">
          <reference field="0" count="1" selected="0">
            <x v="7"/>
          </reference>
          <reference field="1" count="1" selected="0">
            <x v="2"/>
          </reference>
          <reference field="5" count="1">
            <x v="61"/>
          </reference>
        </references>
      </pivotArea>
    </format>
    <format dxfId="111">
      <pivotArea dataOnly="0" labelOnly="1" fieldPosition="0">
        <references count="3">
          <reference field="0" count="1" selected="0">
            <x v="8"/>
          </reference>
          <reference field="1" count="1" selected="0">
            <x v="0"/>
          </reference>
          <reference field="5" count="4">
            <x v="4"/>
            <x v="18"/>
            <x v="32"/>
            <x v="46"/>
          </reference>
        </references>
      </pivotArea>
    </format>
    <format dxfId="110">
      <pivotArea dataOnly="0" labelOnly="1" fieldPosition="0">
        <references count="3">
          <reference field="0" count="1" selected="0">
            <x v="8"/>
          </reference>
          <reference field="1" count="1" selected="0">
            <x v="2"/>
          </reference>
          <reference field="5" count="2">
            <x v="60"/>
            <x v="74"/>
          </reference>
        </references>
      </pivotArea>
    </format>
    <format dxfId="109">
      <pivotArea dataOnly="0" labelOnly="1" fieldPosition="0">
        <references count="3">
          <reference field="0" count="1" selected="0">
            <x v="9"/>
          </reference>
          <reference field="1" count="1" selected="0">
            <x v="0"/>
          </reference>
          <reference field="5" count="5">
            <x v="10"/>
            <x v="24"/>
            <x v="38"/>
            <x v="52"/>
            <x v="80"/>
          </reference>
        </references>
      </pivotArea>
    </format>
    <format dxfId="108">
      <pivotArea dataOnly="0" labelOnly="1" fieldPosition="0">
        <references count="3">
          <reference field="0" count="1" selected="0">
            <x v="9"/>
          </reference>
          <reference field="1" count="1" selected="0">
            <x v="2"/>
          </reference>
          <reference field="5" count="1">
            <x v="66"/>
          </reference>
        </references>
      </pivotArea>
    </format>
    <format dxfId="107">
      <pivotArea dataOnly="0" labelOnly="1" fieldPosition="0">
        <references count="3">
          <reference field="0" count="1" selected="0">
            <x v="10"/>
          </reference>
          <reference field="1" count="1" selected="0">
            <x v="0"/>
          </reference>
          <reference field="5" count="6">
            <x v="2"/>
            <x v="16"/>
            <x v="30"/>
            <x v="44"/>
            <x v="58"/>
            <x v="72"/>
          </reference>
        </references>
      </pivotArea>
    </format>
    <format dxfId="106">
      <pivotArea dataOnly="0" labelOnly="1" fieldPosition="0">
        <references count="3">
          <reference field="0" count="1" selected="0">
            <x v="11"/>
          </reference>
          <reference field="1" count="1" selected="0">
            <x v="0"/>
          </reference>
          <reference field="5" count="5">
            <x v="13"/>
            <x v="27"/>
            <x v="41"/>
            <x v="55"/>
            <x v="83"/>
          </reference>
        </references>
      </pivotArea>
    </format>
    <format dxfId="105">
      <pivotArea dataOnly="0" labelOnly="1" fieldPosition="0">
        <references count="3">
          <reference field="0" count="1" selected="0">
            <x v="11"/>
          </reference>
          <reference field="1" count="1" selected="0">
            <x v="2"/>
          </reference>
          <reference field="5" count="1">
            <x v="69"/>
          </reference>
        </references>
      </pivotArea>
    </format>
    <format dxfId="104">
      <pivotArea dataOnly="0" labelOnly="1" fieldPosition="0">
        <references count="3">
          <reference field="0" count="1" selected="0">
            <x v="12"/>
          </reference>
          <reference field="1" count="1" selected="0">
            <x v="0"/>
          </reference>
          <reference field="5" count="5">
            <x v="6"/>
            <x v="20"/>
            <x v="34"/>
            <x v="48"/>
            <x v="76"/>
          </reference>
        </references>
      </pivotArea>
    </format>
    <format dxfId="103">
      <pivotArea dataOnly="0" labelOnly="1" fieldPosition="0">
        <references count="3">
          <reference field="0" count="1" selected="0">
            <x v="12"/>
          </reference>
          <reference field="1" count="1" selected="0">
            <x v="2"/>
          </reference>
          <reference field="5" count="1">
            <x v="62"/>
          </reference>
        </references>
      </pivotArea>
    </format>
    <format dxfId="102">
      <pivotArea dataOnly="0" labelOnly="1" fieldPosition="0">
        <references count="3">
          <reference field="0" count="1" selected="0">
            <x v="13"/>
          </reference>
          <reference field="1" count="1" selected="0">
            <x v="0"/>
          </reference>
          <reference field="5" count="5">
            <x v="11"/>
            <x v="25"/>
            <x v="39"/>
            <x v="53"/>
            <x v="81"/>
          </reference>
        </references>
      </pivotArea>
    </format>
    <format dxfId="101">
      <pivotArea dataOnly="0" labelOnly="1" fieldPosition="0">
        <references count="3">
          <reference field="0" count="1" selected="0">
            <x v="13"/>
          </reference>
          <reference field="1" count="1" selected="0">
            <x v="2"/>
          </reference>
          <reference field="5" count="1">
            <x v="67"/>
          </reference>
        </references>
      </pivotArea>
    </format>
    <format dxfId="100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  <reference field="7" count="1">
            <x v="6"/>
          </reference>
        </references>
      </pivotArea>
    </format>
    <format dxfId="99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14"/>
          </reference>
          <reference field="7" count="1">
            <x v="6"/>
          </reference>
        </references>
      </pivotArea>
    </format>
    <format dxfId="98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28"/>
          </reference>
          <reference field="7" count="1">
            <x v="7"/>
          </reference>
        </references>
      </pivotArea>
    </format>
    <format dxfId="97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42"/>
          </reference>
          <reference field="7" count="1">
            <x v="7"/>
          </reference>
        </references>
      </pivotArea>
    </format>
    <format dxfId="96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56"/>
          </reference>
          <reference field="7" count="1">
            <x v="8"/>
          </reference>
        </references>
      </pivotArea>
    </format>
    <format dxfId="95">
      <pivotArea dataOnly="0" labelOnly="1" fieldPosition="0">
        <references count="4">
          <reference field="0" count="1" selected="0">
            <x v="0"/>
          </reference>
          <reference field="1" count="1" selected="0">
            <x v="0"/>
          </reference>
          <reference field="5" count="1" selected="0">
            <x v="70"/>
          </reference>
          <reference field="7" count="1">
            <x v="8"/>
          </reference>
        </references>
      </pivotArea>
    </format>
    <format dxfId="94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9"/>
          </reference>
          <reference field="7" count="1">
            <x v="6"/>
          </reference>
        </references>
      </pivotArea>
    </format>
    <format dxfId="93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23"/>
          </reference>
          <reference field="7" count="1">
            <x v="7"/>
          </reference>
        </references>
      </pivotArea>
    </format>
    <format dxfId="92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37"/>
          </reference>
          <reference field="7" count="1">
            <x v="7"/>
          </reference>
        </references>
      </pivotArea>
    </format>
    <format dxfId="91">
      <pivotArea dataOnly="0" labelOnly="1" fieldPosition="0">
        <references count="4">
          <reference field="0" count="1" selected="0">
            <x v="1"/>
          </reference>
          <reference field="1" count="1" selected="0">
            <x v="0"/>
          </reference>
          <reference field="5" count="1" selected="0">
            <x v="51"/>
          </reference>
          <reference field="7" count="1">
            <x v="8"/>
          </reference>
        </references>
      </pivotArea>
    </format>
    <format dxfId="90">
      <pivotArea dataOnly="0" labelOnly="1" fieldPosition="0">
        <references count="4">
          <reference field="0" count="1" selected="0">
            <x v="1"/>
          </reference>
          <reference field="1" count="1" selected="0">
            <x v="1"/>
          </reference>
          <reference field="5" count="1" selected="0">
            <x v="79"/>
          </reference>
          <reference field="7" count="1">
            <x v="9"/>
          </reference>
        </references>
      </pivotArea>
    </format>
    <format dxfId="89">
      <pivotArea dataOnly="0" labelOnly="1" fieldPosition="0">
        <references count="4">
          <reference field="0" count="1" selected="0">
            <x v="1"/>
          </reference>
          <reference field="1" count="1" selected="0">
            <x v="2"/>
          </reference>
          <reference field="5" count="1" selected="0">
            <x v="65"/>
          </reference>
          <reference field="7" count="1">
            <x v="8"/>
          </reference>
        </references>
      </pivotArea>
    </format>
    <format dxfId="88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7"/>
          </reference>
          <reference field="7" count="1">
            <x v="6"/>
          </reference>
        </references>
      </pivotArea>
    </format>
    <format dxfId="87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21"/>
          </reference>
          <reference field="7" count="1">
            <x v="7"/>
          </reference>
        </references>
      </pivotArea>
    </format>
    <format dxfId="86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35"/>
          </reference>
          <reference field="7" count="1">
            <x v="7"/>
          </reference>
        </references>
      </pivotArea>
    </format>
    <format dxfId="85">
      <pivotArea dataOnly="0" labelOnly="1" fieldPosition="0">
        <references count="4">
          <reference field="0" count="1" selected="0">
            <x v="2"/>
          </reference>
          <reference field="1" count="1" selected="0">
            <x v="0"/>
          </reference>
          <reference field="5" count="1" selected="0">
            <x v="49"/>
          </reference>
          <reference field="7" count="1">
            <x v="8"/>
          </reference>
        </references>
      </pivotArea>
    </format>
    <format dxfId="84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63"/>
          </reference>
          <reference field="7" count="1">
            <x v="8"/>
          </reference>
        </references>
      </pivotArea>
    </format>
    <format dxfId="83">
      <pivotArea dataOnly="0" labelOnly="1" fieldPosition="0">
        <references count="4">
          <reference field="0" count="1" selected="0">
            <x v="2"/>
          </reference>
          <reference field="1" count="1" selected="0">
            <x v="2"/>
          </reference>
          <reference field="5" count="1" selected="0">
            <x v="77"/>
          </reference>
          <reference field="7" count="1">
            <x v="8"/>
          </reference>
        </references>
      </pivotArea>
    </format>
    <format dxfId="82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"/>
          </reference>
          <reference field="7" count="1">
            <x v="6"/>
          </reference>
        </references>
      </pivotArea>
    </format>
    <format dxfId="81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17"/>
          </reference>
          <reference field="7" count="1">
            <x v="7"/>
          </reference>
        </references>
      </pivotArea>
    </format>
    <format dxfId="80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31"/>
          </reference>
          <reference field="7" count="1">
            <x v="7"/>
          </reference>
        </references>
      </pivotArea>
    </format>
    <format dxfId="79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45"/>
          </reference>
          <reference field="7" count="1">
            <x v="7"/>
          </reference>
        </references>
      </pivotArea>
    </format>
    <format dxfId="78">
      <pivotArea dataOnly="0" labelOnly="1" fieldPosition="0">
        <references count="4">
          <reference field="0" count="1" selected="0">
            <x v="3"/>
          </reference>
          <reference field="1" count="1" selected="0">
            <x v="0"/>
          </reference>
          <reference field="5" count="1" selected="0">
            <x v="59"/>
          </reference>
          <reference field="7" count="1">
            <x v="8"/>
          </reference>
        </references>
      </pivotArea>
    </format>
    <format dxfId="77">
      <pivotArea dataOnly="0" labelOnly="1" fieldPosition="0">
        <references count="4">
          <reference field="0" count="1" selected="0">
            <x v="3"/>
          </reference>
          <reference field="1" count="1" selected="0">
            <x v="2"/>
          </reference>
          <reference field="5" count="1" selected="0">
            <x v="73"/>
          </reference>
          <reference field="7" count="1">
            <x v="8"/>
          </reference>
        </references>
      </pivotArea>
    </format>
    <format dxfId="76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"/>
          </reference>
          <reference field="7" count="1">
            <x v="6"/>
          </reference>
        </references>
      </pivotArea>
    </format>
    <format dxfId="75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15"/>
          </reference>
          <reference field="7" count="1">
            <x v="6"/>
          </reference>
        </references>
      </pivotArea>
    </format>
    <format dxfId="74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29"/>
          </reference>
          <reference field="7" count="1">
            <x v="7"/>
          </reference>
        </references>
      </pivotArea>
    </format>
    <format dxfId="73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43"/>
          </reference>
          <reference field="7" count="1">
            <x v="7"/>
          </reference>
        </references>
      </pivotArea>
    </format>
    <format dxfId="72">
      <pivotArea dataOnly="0" labelOnly="1" fieldPosition="0">
        <references count="4">
          <reference field="0" count="1" selected="0">
            <x v="4"/>
          </reference>
          <reference field="1" count="1" selected="0">
            <x v="0"/>
          </reference>
          <reference field="5" count="1" selected="0">
            <x v="57"/>
          </reference>
          <reference field="7" count="1">
            <x v="8"/>
          </reference>
        </references>
      </pivotArea>
    </format>
    <format dxfId="71">
      <pivotArea dataOnly="0" labelOnly="1" fieldPosition="0">
        <references count="4">
          <reference field="0" count="1" selected="0">
            <x v="4"/>
          </reference>
          <reference field="1" count="1" selected="0">
            <x v="2"/>
          </reference>
          <reference field="5" count="1" selected="0">
            <x v="71"/>
          </reference>
          <reference field="7" count="1">
            <x v="8"/>
          </reference>
        </references>
      </pivotArea>
    </format>
    <format dxfId="70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8"/>
          </reference>
          <reference field="7" count="1">
            <x v="6"/>
          </reference>
        </references>
      </pivotArea>
    </format>
    <format dxfId="69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22"/>
          </reference>
          <reference field="7" count="1">
            <x v="7"/>
          </reference>
        </references>
      </pivotArea>
    </format>
    <format dxfId="68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36"/>
          </reference>
          <reference field="7" count="1">
            <x v="7"/>
          </reference>
        </references>
      </pivotArea>
    </format>
    <format dxfId="67">
      <pivotArea dataOnly="0" labelOnly="1" fieldPosition="0">
        <references count="4">
          <reference field="0" count="1" selected="0">
            <x v="5"/>
          </reference>
          <reference field="1" count="1" selected="0">
            <x v="0"/>
          </reference>
          <reference field="5" count="1" selected="0">
            <x v="50"/>
          </reference>
          <reference field="7" count="1">
            <x v="8"/>
          </reference>
        </references>
      </pivotArea>
    </format>
    <format dxfId="66">
      <pivotArea dataOnly="0" labelOnly="1" fieldPosition="0">
        <references count="4">
          <reference field="0" count="1" selected="0">
            <x v="5"/>
          </reference>
          <reference field="1" count="1" selected="0">
            <x v="1"/>
          </reference>
          <reference field="5" count="1" selected="0">
            <x v="78"/>
          </reference>
          <reference field="7" count="1">
            <x v="8"/>
          </reference>
        </references>
      </pivotArea>
    </format>
    <format dxfId="65">
      <pivotArea dataOnly="0" labelOnly="1" fieldPosition="0">
        <references count="4">
          <reference field="0" count="1" selected="0">
            <x v="5"/>
          </reference>
          <reference field="1" count="1" selected="0">
            <x v="2"/>
          </reference>
          <reference field="5" count="1" selected="0">
            <x v="64"/>
          </reference>
          <reference field="7" count="1">
            <x v="8"/>
          </reference>
        </references>
      </pivotArea>
    </format>
    <format dxfId="64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12"/>
          </reference>
          <reference field="7" count="1">
            <x v="6"/>
          </reference>
        </references>
      </pivotArea>
    </format>
    <format dxfId="63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26"/>
          </reference>
          <reference field="7" count="1">
            <x v="7"/>
          </reference>
        </references>
      </pivotArea>
    </format>
    <format dxfId="62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40"/>
          </reference>
          <reference field="7" count="1">
            <x v="7"/>
          </reference>
        </references>
      </pivotArea>
    </format>
    <format dxfId="61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54"/>
          </reference>
          <reference field="7" count="1">
            <x v="8"/>
          </reference>
        </references>
      </pivotArea>
    </format>
    <format dxfId="60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68"/>
          </reference>
          <reference field="7" count="1">
            <x v="8"/>
          </reference>
        </references>
      </pivotArea>
    </format>
    <format dxfId="59">
      <pivotArea dataOnly="0" labelOnly="1" fieldPosition="0">
        <references count="4">
          <reference field="0" count="1" selected="0">
            <x v="6"/>
          </reference>
          <reference field="1" count="1" selected="0">
            <x v="0"/>
          </reference>
          <reference field="5" count="1" selected="0">
            <x v="82"/>
          </reference>
          <reference field="7" count="1">
            <x v="9"/>
          </reference>
        </references>
      </pivotArea>
    </format>
    <format dxfId="58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5"/>
          </reference>
          <reference field="7" count="1">
            <x v="6"/>
          </reference>
        </references>
      </pivotArea>
    </format>
    <format dxfId="57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19"/>
          </reference>
          <reference field="7" count="1">
            <x v="7"/>
          </reference>
        </references>
      </pivotArea>
    </format>
    <format dxfId="56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33"/>
          </reference>
          <reference field="7" count="1">
            <x v="7"/>
          </reference>
        </references>
      </pivotArea>
    </format>
    <format dxfId="55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47"/>
          </reference>
          <reference field="7" count="1">
            <x v="7"/>
          </reference>
        </references>
      </pivotArea>
    </format>
    <format dxfId="54">
      <pivotArea dataOnly="0" labelOnly="1" fieldPosition="0">
        <references count="4">
          <reference field="0" count="1" selected="0">
            <x v="7"/>
          </reference>
          <reference field="1" count="1" selected="0">
            <x v="0"/>
          </reference>
          <reference field="5" count="1" selected="0">
            <x v="75"/>
          </reference>
          <reference field="7" count="1">
            <x v="8"/>
          </reference>
        </references>
      </pivotArea>
    </format>
    <format dxfId="53">
      <pivotArea dataOnly="0" labelOnly="1" fieldPosition="0">
        <references count="4">
          <reference field="0" count="1" selected="0">
            <x v="7"/>
          </reference>
          <reference field="1" count="1" selected="0">
            <x v="2"/>
          </reference>
          <reference field="5" count="1" selected="0">
            <x v="61"/>
          </reference>
          <reference field="7" count="1">
            <x v="8"/>
          </reference>
        </references>
      </pivotArea>
    </format>
    <format dxfId="52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"/>
          </reference>
          <reference field="7" count="1">
            <x v="6"/>
          </reference>
        </references>
      </pivotArea>
    </format>
    <format dxfId="51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18"/>
          </reference>
          <reference field="7" count="1">
            <x v="7"/>
          </reference>
        </references>
      </pivotArea>
    </format>
    <format dxfId="50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32"/>
          </reference>
          <reference field="7" count="1">
            <x v="7"/>
          </reference>
        </references>
      </pivotArea>
    </format>
    <format dxfId="49">
      <pivotArea dataOnly="0" labelOnly="1" fieldPosition="0">
        <references count="4">
          <reference field="0" count="1" selected="0">
            <x v="8"/>
          </reference>
          <reference field="1" count="1" selected="0">
            <x v="0"/>
          </reference>
          <reference field="5" count="1" selected="0">
            <x v="46"/>
          </reference>
          <reference field="7" count="1">
            <x v="7"/>
          </reference>
        </references>
      </pivotArea>
    </format>
    <format dxfId="48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60"/>
          </reference>
          <reference field="7" count="1">
            <x v="8"/>
          </reference>
        </references>
      </pivotArea>
    </format>
    <format dxfId="47">
      <pivotArea dataOnly="0" labelOnly="1" fieldPosition="0">
        <references count="4">
          <reference field="0" count="1" selected="0">
            <x v="8"/>
          </reference>
          <reference field="1" count="1" selected="0">
            <x v="2"/>
          </reference>
          <reference field="5" count="1" selected="0">
            <x v="74"/>
          </reference>
          <reference field="7" count="1">
            <x v="8"/>
          </reference>
        </references>
      </pivotArea>
    </format>
    <format dxfId="46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10"/>
          </reference>
          <reference field="7" count="1">
            <x v="6"/>
          </reference>
        </references>
      </pivotArea>
    </format>
    <format dxfId="45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24"/>
          </reference>
          <reference field="7" count="1">
            <x v="7"/>
          </reference>
        </references>
      </pivotArea>
    </format>
    <format dxfId="44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38"/>
          </reference>
          <reference field="7" count="1">
            <x v="7"/>
          </reference>
        </references>
      </pivotArea>
    </format>
    <format dxfId="43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52"/>
          </reference>
          <reference field="7" count="1">
            <x v="8"/>
          </reference>
        </references>
      </pivotArea>
    </format>
    <format dxfId="42">
      <pivotArea dataOnly="0" labelOnly="1" fieldPosition="0">
        <references count="4">
          <reference field="0" count="1" selected="0">
            <x v="9"/>
          </reference>
          <reference field="1" count="1" selected="0">
            <x v="0"/>
          </reference>
          <reference field="5" count="1" selected="0">
            <x v="80"/>
          </reference>
          <reference field="7" count="1">
            <x v="9"/>
          </reference>
        </references>
      </pivotArea>
    </format>
    <format dxfId="41">
      <pivotArea dataOnly="0" labelOnly="1" fieldPosition="0">
        <references count="4">
          <reference field="0" count="1" selected="0">
            <x v="9"/>
          </reference>
          <reference field="1" count="1" selected="0">
            <x v="2"/>
          </reference>
          <reference field="5" count="1" selected="0">
            <x v="66"/>
          </reference>
          <reference field="7" count="1">
            <x v="8"/>
          </reference>
        </references>
      </pivotArea>
    </format>
    <format dxfId="40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2"/>
          </reference>
          <reference field="7" count="1">
            <x v="6"/>
          </reference>
        </references>
      </pivotArea>
    </format>
    <format dxfId="39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16"/>
          </reference>
          <reference field="7" count="1">
            <x v="6"/>
          </reference>
        </references>
      </pivotArea>
    </format>
    <format dxfId="38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30"/>
          </reference>
          <reference field="7" count="1">
            <x v="7"/>
          </reference>
        </references>
      </pivotArea>
    </format>
    <format dxfId="37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44"/>
          </reference>
          <reference field="7" count="1">
            <x v="7"/>
          </reference>
        </references>
      </pivotArea>
    </format>
    <format dxfId="36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58"/>
          </reference>
          <reference field="7" count="1">
            <x v="8"/>
          </reference>
        </references>
      </pivotArea>
    </format>
    <format dxfId="35">
      <pivotArea dataOnly="0" labelOnly="1" fieldPosition="0">
        <references count="4">
          <reference field="0" count="1" selected="0">
            <x v="10"/>
          </reference>
          <reference field="1" count="1" selected="0">
            <x v="0"/>
          </reference>
          <reference field="5" count="1" selected="0">
            <x v="72"/>
          </reference>
          <reference field="7" count="1">
            <x v="8"/>
          </reference>
        </references>
      </pivotArea>
    </format>
    <format dxfId="34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13"/>
          </reference>
          <reference field="7" count="1">
            <x v="6"/>
          </reference>
        </references>
      </pivotArea>
    </format>
    <format dxfId="33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27"/>
          </reference>
          <reference field="7" count="1">
            <x v="7"/>
          </reference>
        </references>
      </pivotArea>
    </format>
    <format dxfId="32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41"/>
          </reference>
          <reference field="7" count="1">
            <x v="7"/>
          </reference>
        </references>
      </pivotArea>
    </format>
    <format dxfId="31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55"/>
          </reference>
          <reference field="7" count="1">
            <x v="8"/>
          </reference>
        </references>
      </pivotArea>
    </format>
    <format dxfId="30">
      <pivotArea dataOnly="0" labelOnly="1" fieldPosition="0">
        <references count="4">
          <reference field="0" count="1" selected="0">
            <x v="11"/>
          </reference>
          <reference field="1" count="1" selected="0">
            <x v="0"/>
          </reference>
          <reference field="5" count="1" selected="0">
            <x v="83"/>
          </reference>
          <reference field="7" count="1">
            <x v="9"/>
          </reference>
        </references>
      </pivotArea>
    </format>
    <format dxfId="29">
      <pivotArea dataOnly="0" labelOnly="1" fieldPosition="0">
        <references count="4">
          <reference field="0" count="1" selected="0">
            <x v="11"/>
          </reference>
          <reference field="1" count="1" selected="0">
            <x v="2"/>
          </reference>
          <reference field="5" count="1" selected="0">
            <x v="69"/>
          </reference>
          <reference field="7" count="1">
            <x v="8"/>
          </reference>
        </references>
      </pivotArea>
    </format>
    <format dxfId="28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6"/>
          </reference>
          <reference field="7" count="1">
            <x v="6"/>
          </reference>
        </references>
      </pivotArea>
    </format>
    <format dxfId="27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20"/>
          </reference>
          <reference field="7" count="1">
            <x v="7"/>
          </reference>
        </references>
      </pivotArea>
    </format>
    <format dxfId="26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34"/>
          </reference>
          <reference field="7" count="1">
            <x v="7"/>
          </reference>
        </references>
      </pivotArea>
    </format>
    <format dxfId="25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48"/>
          </reference>
          <reference field="7" count="1">
            <x v="8"/>
          </reference>
        </references>
      </pivotArea>
    </format>
    <format dxfId="24">
      <pivotArea dataOnly="0" labelOnly="1" fieldPosition="0">
        <references count="4">
          <reference field="0" count="1" selected="0">
            <x v="12"/>
          </reference>
          <reference field="1" count="1" selected="0">
            <x v="0"/>
          </reference>
          <reference field="5" count="1" selected="0">
            <x v="76"/>
          </reference>
          <reference field="7" count="1">
            <x v="8"/>
          </reference>
        </references>
      </pivotArea>
    </format>
    <format dxfId="23">
      <pivotArea dataOnly="0" labelOnly="1" fieldPosition="0">
        <references count="4">
          <reference field="0" count="1" selected="0">
            <x v="12"/>
          </reference>
          <reference field="1" count="1" selected="0">
            <x v="2"/>
          </reference>
          <reference field="5" count="1" selected="0">
            <x v="62"/>
          </reference>
          <reference field="7" count="1">
            <x v="8"/>
          </reference>
        </references>
      </pivotArea>
    </format>
    <format dxfId="22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11"/>
          </reference>
          <reference field="7" count="1">
            <x v="6"/>
          </reference>
        </references>
      </pivotArea>
    </format>
    <format dxfId="21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25"/>
          </reference>
          <reference field="7" count="1">
            <x v="7"/>
          </reference>
        </references>
      </pivotArea>
    </format>
    <format dxfId="20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39"/>
          </reference>
          <reference field="7" count="1">
            <x v="7"/>
          </reference>
        </references>
      </pivotArea>
    </format>
    <format dxfId="19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53"/>
          </reference>
          <reference field="7" count="1">
            <x v="8"/>
          </reference>
        </references>
      </pivotArea>
    </format>
    <format dxfId="18">
      <pivotArea dataOnly="0" labelOnly="1" fieldPosition="0">
        <references count="4">
          <reference field="0" count="1" selected="0">
            <x v="13"/>
          </reference>
          <reference field="1" count="1" selected="0">
            <x v="0"/>
          </reference>
          <reference field="5" count="1" selected="0">
            <x v="81"/>
          </reference>
          <reference field="7" count="1">
            <x v="9"/>
          </reference>
        </references>
      </pivotArea>
    </format>
    <format dxfId="17">
      <pivotArea dataOnly="0" labelOnly="1" fieldPosition="0">
        <references count="4">
          <reference field="0" count="1" selected="0">
            <x v="13"/>
          </reference>
          <reference field="1" count="1" selected="0">
            <x v="2"/>
          </reference>
          <reference field="5" count="1" selected="0">
            <x v="67"/>
          </reference>
          <reference field="7" count="1">
            <x v="8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0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59C60-2B21-4CC5-8763-3EC8B91A1594}" name="Pivot-brief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Data">
  <location ref="B3:D46" firstHeaderRow="0" firstDataRow="1" firstDataCol="1"/>
  <pivotFields count="5">
    <pivotField axis="axisRow" showAll="0">
      <items count="15">
        <item x="0"/>
        <item x="9"/>
        <item x="7"/>
        <item x="3"/>
        <item x="1"/>
        <item x="8"/>
        <item x="12"/>
        <item x="5"/>
        <item x="4"/>
        <item x="10"/>
        <item x="2"/>
        <item x="13"/>
        <item x="6"/>
        <item x="11"/>
        <item t="default"/>
      </items>
    </pivotField>
    <pivotField dataField="1" showAll="0">
      <items count="15">
        <item x="3"/>
        <item x="9"/>
        <item x="8"/>
        <item x="7"/>
        <item x="5"/>
        <item x="6"/>
        <item x="4"/>
        <item x="1"/>
        <item x="11"/>
        <item x="10"/>
        <item x="0"/>
        <item x="13"/>
        <item x="12"/>
        <item x="2"/>
        <item t="default"/>
      </items>
    </pivotField>
    <pivotField axis="axisRow" showAll="0">
      <items count="15">
        <item x="2"/>
        <item x="11"/>
        <item x="6"/>
        <item x="1"/>
        <item x="10"/>
        <item x="0"/>
        <item x="12"/>
        <item x="8"/>
        <item x="9"/>
        <item x="7"/>
        <item x="4"/>
        <item x="13"/>
        <item x="5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numFmtId="10" showAll="0"/>
  </pivotFields>
  <rowFields count="3">
    <field x="0"/>
    <field x="2"/>
    <field x="3"/>
  </rowFields>
  <rowItems count="43">
    <i>
      <x/>
    </i>
    <i r="1">
      <x v="5"/>
    </i>
    <i r="2">
      <x/>
    </i>
    <i>
      <x v="1"/>
    </i>
    <i r="1">
      <x v="8"/>
    </i>
    <i r="2">
      <x v="2"/>
    </i>
    <i>
      <x v="2"/>
    </i>
    <i r="1">
      <x v="9"/>
    </i>
    <i r="2">
      <x v="2"/>
    </i>
    <i>
      <x v="3"/>
    </i>
    <i r="1">
      <x v="13"/>
    </i>
    <i r="2">
      <x v="2"/>
    </i>
    <i>
      <x v="4"/>
    </i>
    <i r="1">
      <x v="3"/>
    </i>
    <i r="2">
      <x v="1"/>
    </i>
    <i>
      <x v="5"/>
    </i>
    <i r="1">
      <x v="7"/>
    </i>
    <i r="2">
      <x v="2"/>
    </i>
    <i>
      <x v="6"/>
    </i>
    <i r="1">
      <x v="6"/>
    </i>
    <i r="2">
      <x/>
    </i>
    <i>
      <x v="7"/>
    </i>
    <i r="1">
      <x v="12"/>
    </i>
    <i r="2">
      <x v="1"/>
    </i>
    <i>
      <x v="8"/>
    </i>
    <i r="1">
      <x v="10"/>
    </i>
    <i r="2">
      <x v="1"/>
    </i>
    <i>
      <x v="9"/>
    </i>
    <i r="1">
      <x v="4"/>
    </i>
    <i r="2">
      <x/>
    </i>
    <i>
      <x v="10"/>
    </i>
    <i r="1">
      <x/>
    </i>
    <i r="2">
      <x/>
    </i>
    <i>
      <x v="11"/>
    </i>
    <i r="1">
      <x v="11"/>
    </i>
    <i r="2">
      <x/>
    </i>
    <i>
      <x v="12"/>
    </i>
    <i r="1">
      <x v="2"/>
    </i>
    <i r="2">
      <x v="1"/>
    </i>
    <i>
      <x v="13"/>
    </i>
    <i r="1">
      <x v="1"/>
    </i>
    <i r="2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1" baseField="0" baseItem="0"/>
    <dataField name=" Percentage" fld="4" baseField="0" baseItem="0" numFmtId="10"/>
  </dataFields>
  <formats count="301">
    <format dxfId="966">
      <pivotArea type="all" dataOnly="0" outline="0" fieldPosition="0"/>
    </format>
    <format dxfId="965">
      <pivotArea outline="0" collapsedLevelsAreSubtotals="1" fieldPosition="0"/>
    </format>
    <format dxfId="964">
      <pivotArea field="0" type="button" dataOnly="0" labelOnly="1" outline="0" axis="axisRow" fieldPosition="0"/>
    </format>
    <format dxfId="963">
      <pivotArea dataOnly="0" labelOnly="1" fieldPosition="0">
        <references count="1">
          <reference field="0" count="0"/>
        </references>
      </pivotArea>
    </format>
    <format dxfId="962">
      <pivotArea dataOnly="0" labelOnly="1" grandRow="1" outline="0" fieldPosition="0"/>
    </format>
    <format dxfId="961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960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959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958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957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956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955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954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953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952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951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950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949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948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947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946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945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944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943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42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941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940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939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938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937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936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935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934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9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2">
      <pivotArea type="all" dataOnly="0" outline="0" fieldPosition="0"/>
    </format>
    <format dxfId="931">
      <pivotArea outline="0" collapsedLevelsAreSubtotals="1" fieldPosition="0"/>
    </format>
    <format dxfId="930">
      <pivotArea field="0" type="button" dataOnly="0" labelOnly="1" outline="0" axis="axisRow" fieldPosition="0"/>
    </format>
    <format dxfId="929">
      <pivotArea dataOnly="0" labelOnly="1" fieldPosition="0">
        <references count="1">
          <reference field="0" count="0"/>
        </references>
      </pivotArea>
    </format>
    <format dxfId="928">
      <pivotArea dataOnly="0" labelOnly="1" grandRow="1" outline="0" fieldPosition="0"/>
    </format>
    <format dxfId="927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926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925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924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923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922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921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920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919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918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917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916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915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914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913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912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911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910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909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908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907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906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905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904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903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902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901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900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8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98">
      <pivotArea type="all" dataOnly="0" outline="0" fieldPosition="0"/>
    </format>
    <format dxfId="897">
      <pivotArea field="0" type="button" dataOnly="0" labelOnly="1" outline="0" axis="axisRow" fieldPosition="0"/>
    </format>
    <format dxfId="896">
      <pivotArea dataOnly="0" labelOnly="1" fieldPosition="0">
        <references count="1">
          <reference field="0" count="0"/>
        </references>
      </pivotArea>
    </format>
    <format dxfId="895">
      <pivotArea dataOnly="0" labelOnly="1" grandRow="1" outline="0" fieldPosition="0"/>
    </format>
    <format dxfId="894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893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892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891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890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889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888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887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886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885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884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883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882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881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880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879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878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877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876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75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874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873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872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871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870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869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868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867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866">
      <pivotArea type="all" dataOnly="0" outline="0" fieldPosition="0"/>
    </format>
    <format dxfId="865">
      <pivotArea outline="0" collapsedLevelsAreSubtotals="1" fieldPosition="0"/>
    </format>
    <format dxfId="864">
      <pivotArea field="0" type="button" dataOnly="0" labelOnly="1" outline="0" axis="axisRow" fieldPosition="0"/>
    </format>
    <format dxfId="863">
      <pivotArea dataOnly="0" labelOnly="1" fieldPosition="0">
        <references count="1">
          <reference field="0" count="0"/>
        </references>
      </pivotArea>
    </format>
    <format dxfId="862">
      <pivotArea dataOnly="0" labelOnly="1" grandRow="1" outline="0" fieldPosition="0"/>
    </format>
    <format dxfId="861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860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859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858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857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856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855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854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853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852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851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850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849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848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847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846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845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844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843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42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841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840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839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838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837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836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835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834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8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32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831">
      <pivotArea field="0" type="button" dataOnly="0" labelOnly="1" outline="0" axis="axisRow" fieldPosition="0"/>
    </format>
    <format dxfId="830">
      <pivotArea dataOnly="0" labelOnly="1" fieldPosition="0">
        <references count="1">
          <reference field="0" count="0"/>
        </references>
      </pivotArea>
    </format>
    <format dxfId="829">
      <pivotArea dataOnly="0" labelOnly="1" grandRow="1" outline="0" fieldPosition="0"/>
    </format>
    <format dxfId="828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827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826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825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824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823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822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821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820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819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818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817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816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815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814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813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812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811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810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809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808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807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806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805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804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803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802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801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800">
      <pivotArea field="0" type="button" dataOnly="0" labelOnly="1" outline="0" axis="axisRow" fieldPosition="0"/>
    </format>
    <format dxfId="799">
      <pivotArea dataOnly="0" labelOnly="1" fieldPosition="0">
        <references count="1">
          <reference field="0" count="0"/>
        </references>
      </pivotArea>
    </format>
    <format dxfId="798">
      <pivotArea dataOnly="0" labelOnly="1" grandRow="1" outline="0" fieldPosition="0"/>
    </format>
    <format dxfId="797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796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795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794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793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792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791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790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789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788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787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786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785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784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783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782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781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780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779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778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777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776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775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774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773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772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771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770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769">
      <pivotArea field="0" type="button" dataOnly="0" labelOnly="1" outline="0" axis="axisRow" fieldPosition="0"/>
    </format>
    <format dxfId="768">
      <pivotArea field="0" type="button" dataOnly="0" labelOnly="1" outline="0" axis="axisRow" fieldPosition="0"/>
    </format>
    <format dxfId="767">
      <pivotArea dataOnly="0" labelOnly="1" fieldPosition="0">
        <references count="1">
          <reference field="0" count="0"/>
        </references>
      </pivotArea>
    </format>
    <format dxfId="766">
      <pivotArea dataOnly="0" labelOnly="1" grandRow="1" outline="0" fieldPosition="0"/>
    </format>
    <format dxfId="765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764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763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762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761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760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759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758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757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756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755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754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753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752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751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750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749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748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747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746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745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744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743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742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741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740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739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738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737">
      <pivotArea type="all" dataOnly="0" outline="0" fieldPosition="0"/>
    </format>
    <format dxfId="736">
      <pivotArea outline="0" collapsedLevelsAreSubtotals="1" fieldPosition="0"/>
    </format>
    <format dxfId="735">
      <pivotArea dataOnly="0" labelOnly="1" fieldPosition="0">
        <references count="1">
          <reference field="0" count="0"/>
        </references>
      </pivotArea>
    </format>
    <format dxfId="734">
      <pivotArea dataOnly="0" labelOnly="1" grandRow="1" outline="0" fieldPosition="0"/>
    </format>
    <format dxfId="733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732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731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730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729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728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727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726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725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724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723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722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721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720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719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718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717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716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715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714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713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712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711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710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709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708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707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706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705">
      <pivotArea field="0" type="button" dataOnly="0" labelOnly="1" outline="0" axis="axisRow" fieldPosition="0"/>
    </format>
    <format dxfId="704">
      <pivotArea field="0" type="button" dataOnly="0" labelOnly="1" outline="0" axis="axisRow" fieldPosition="0"/>
    </format>
    <format dxfId="703">
      <pivotArea type="all" dataOnly="0" outline="0" fieldPosition="0"/>
    </format>
    <format dxfId="702">
      <pivotArea outline="0" collapsedLevelsAreSubtotals="1" fieldPosition="0"/>
    </format>
    <format dxfId="701">
      <pivotArea field="0" type="button" dataOnly="0" labelOnly="1" outline="0" axis="axisRow" fieldPosition="0"/>
    </format>
    <format dxfId="700">
      <pivotArea dataOnly="0" labelOnly="1" fieldPosition="0">
        <references count="1">
          <reference field="0" count="0"/>
        </references>
      </pivotArea>
    </format>
    <format dxfId="699">
      <pivotArea dataOnly="0" labelOnly="1" grandRow="1" outline="0" fieldPosition="0"/>
    </format>
    <format dxfId="698">
      <pivotArea dataOnly="0" labelOnly="1" fieldPosition="0">
        <references count="2">
          <reference field="0" count="1" selected="0">
            <x v="0"/>
          </reference>
          <reference field="2" count="1">
            <x v="5"/>
          </reference>
        </references>
      </pivotArea>
    </format>
    <format dxfId="697">
      <pivotArea dataOnly="0" labelOnly="1" fieldPosition="0">
        <references count="2">
          <reference field="0" count="1" selected="0">
            <x v="1"/>
          </reference>
          <reference field="2" count="1">
            <x v="8"/>
          </reference>
        </references>
      </pivotArea>
    </format>
    <format dxfId="696">
      <pivotArea dataOnly="0" labelOnly="1" fieldPosition="0">
        <references count="2">
          <reference field="0" count="1" selected="0">
            <x v="2"/>
          </reference>
          <reference field="2" count="1">
            <x v="9"/>
          </reference>
        </references>
      </pivotArea>
    </format>
    <format dxfId="695">
      <pivotArea dataOnly="0" labelOnly="1" fieldPosition="0">
        <references count="2">
          <reference field="0" count="1" selected="0">
            <x v="3"/>
          </reference>
          <reference field="2" count="1">
            <x v="13"/>
          </reference>
        </references>
      </pivotArea>
    </format>
    <format dxfId="694">
      <pivotArea dataOnly="0" labelOnly="1" fieldPosition="0">
        <references count="2">
          <reference field="0" count="1" selected="0">
            <x v="4"/>
          </reference>
          <reference field="2" count="1">
            <x v="3"/>
          </reference>
        </references>
      </pivotArea>
    </format>
    <format dxfId="693">
      <pivotArea dataOnly="0" labelOnly="1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692">
      <pivotArea dataOnly="0" labelOnly="1" fieldPosition="0">
        <references count="2">
          <reference field="0" count="1" selected="0">
            <x v="6"/>
          </reference>
          <reference field="2" count="1">
            <x v="6"/>
          </reference>
        </references>
      </pivotArea>
    </format>
    <format dxfId="691">
      <pivotArea dataOnly="0" labelOnly="1" fieldPosition="0">
        <references count="2">
          <reference field="0" count="1" selected="0">
            <x v="7"/>
          </reference>
          <reference field="2" count="1">
            <x v="12"/>
          </reference>
        </references>
      </pivotArea>
    </format>
    <format dxfId="690">
      <pivotArea dataOnly="0" labelOnly="1" fieldPosition="0">
        <references count="2">
          <reference field="0" count="1" selected="0">
            <x v="8"/>
          </reference>
          <reference field="2" count="1">
            <x v="10"/>
          </reference>
        </references>
      </pivotArea>
    </format>
    <format dxfId="689">
      <pivotArea dataOnly="0" labelOnly="1" fieldPosition="0">
        <references count="2">
          <reference field="0" count="1" selected="0">
            <x v="9"/>
          </reference>
          <reference field="2" count="1">
            <x v="4"/>
          </reference>
        </references>
      </pivotArea>
    </format>
    <format dxfId="688">
      <pivotArea dataOnly="0" labelOnly="1" fieldPosition="0">
        <references count="2">
          <reference field="0" count="1" selected="0">
            <x v="10"/>
          </reference>
          <reference field="2" count="1">
            <x v="0"/>
          </reference>
        </references>
      </pivotArea>
    </format>
    <format dxfId="687">
      <pivotArea dataOnly="0" labelOnly="1" fieldPosition="0">
        <references count="2">
          <reference field="0" count="1" selected="0">
            <x v="11"/>
          </reference>
          <reference field="2" count="1">
            <x v="11"/>
          </reference>
        </references>
      </pivotArea>
    </format>
    <format dxfId="686">
      <pivotArea dataOnly="0" labelOnly="1" fieldPosition="0">
        <references count="2">
          <reference field="0" count="1" selected="0">
            <x v="12"/>
          </reference>
          <reference field="2" count="1">
            <x v="2"/>
          </reference>
        </references>
      </pivotArea>
    </format>
    <format dxfId="685">
      <pivotArea dataOnly="0" labelOnly="1" fieldPosition="0">
        <references count="2">
          <reference field="0" count="1" selected="0">
            <x v="13"/>
          </reference>
          <reference field="2" count="1">
            <x v="1"/>
          </reference>
        </references>
      </pivotArea>
    </format>
    <format dxfId="684">
      <pivotArea dataOnly="0" labelOnly="1" fieldPosition="0">
        <references count="3">
          <reference field="0" count="1" selected="0">
            <x v="0"/>
          </reference>
          <reference field="2" count="1" selected="0">
            <x v="5"/>
          </reference>
          <reference field="3" count="1">
            <x v="0"/>
          </reference>
        </references>
      </pivotArea>
    </format>
    <format dxfId="683">
      <pivotArea dataOnly="0" labelOnly="1" fieldPosition="0">
        <references count="3">
          <reference field="0" count="1" selected="0">
            <x v="1"/>
          </reference>
          <reference field="2" count="1" selected="0">
            <x v="8"/>
          </reference>
          <reference field="3" count="1">
            <x v="2"/>
          </reference>
        </references>
      </pivotArea>
    </format>
    <format dxfId="682">
      <pivotArea dataOnly="0" labelOnly="1" fieldPosition="0">
        <references count="3">
          <reference field="0" count="1" selected="0">
            <x v="2"/>
          </reference>
          <reference field="2" count="1" selected="0">
            <x v="9"/>
          </reference>
          <reference field="3" count="1">
            <x v="2"/>
          </reference>
        </references>
      </pivotArea>
    </format>
    <format dxfId="681">
      <pivotArea dataOnly="0" labelOnly="1" fieldPosition="0">
        <references count="3">
          <reference field="0" count="1" selected="0">
            <x v="3"/>
          </reference>
          <reference field="2" count="1" selected="0">
            <x v="13"/>
          </reference>
          <reference field="3" count="1">
            <x v="2"/>
          </reference>
        </references>
      </pivotArea>
    </format>
    <format dxfId="680">
      <pivotArea dataOnly="0" labelOnly="1" fieldPosition="0">
        <references count="3">
          <reference field="0" count="1" selected="0">
            <x v="4"/>
          </reference>
          <reference field="2" count="1" selected="0">
            <x v="3"/>
          </reference>
          <reference field="3" count="1">
            <x v="1"/>
          </reference>
        </references>
      </pivotArea>
    </format>
    <format dxfId="679">
      <pivotArea dataOnly="0" labelOnly="1" fieldPosition="0">
        <references count="3">
          <reference field="0" count="1" selected="0">
            <x v="5"/>
          </reference>
          <reference field="2" count="1" selected="0">
            <x v="7"/>
          </reference>
          <reference field="3" count="1">
            <x v="2"/>
          </reference>
        </references>
      </pivotArea>
    </format>
    <format dxfId="678">
      <pivotArea dataOnly="0" labelOnly="1" fieldPosition="0">
        <references count="3">
          <reference field="0" count="1" selected="0">
            <x v="6"/>
          </reference>
          <reference field="2" count="1" selected="0">
            <x v="6"/>
          </reference>
          <reference field="3" count="1">
            <x v="0"/>
          </reference>
        </references>
      </pivotArea>
    </format>
    <format dxfId="677">
      <pivotArea dataOnly="0" labelOnly="1" fieldPosition="0">
        <references count="3">
          <reference field="0" count="1" selected="0">
            <x v="7"/>
          </reference>
          <reference field="2" count="1" selected="0">
            <x v="12"/>
          </reference>
          <reference field="3" count="1">
            <x v="1"/>
          </reference>
        </references>
      </pivotArea>
    </format>
    <format dxfId="676">
      <pivotArea dataOnly="0" labelOnly="1" fieldPosition="0">
        <references count="3">
          <reference field="0" count="1" selected="0">
            <x v="8"/>
          </reference>
          <reference field="2" count="1" selected="0">
            <x v="10"/>
          </reference>
          <reference field="3" count="1">
            <x v="1"/>
          </reference>
        </references>
      </pivotArea>
    </format>
    <format dxfId="675">
      <pivotArea dataOnly="0" labelOnly="1" fieldPosition="0">
        <references count="3">
          <reference field="0" count="1" selected="0">
            <x v="9"/>
          </reference>
          <reference field="2" count="1" selected="0">
            <x v="4"/>
          </reference>
          <reference field="3" count="1">
            <x v="0"/>
          </reference>
        </references>
      </pivotArea>
    </format>
    <format dxfId="674">
      <pivotArea dataOnly="0" labelOnly="1" fieldPosition="0">
        <references count="3">
          <reference field="0" count="1" selected="0">
            <x v="10"/>
          </reference>
          <reference field="2" count="1" selected="0">
            <x v="0"/>
          </reference>
          <reference field="3" count="1">
            <x v="0"/>
          </reference>
        </references>
      </pivotArea>
    </format>
    <format dxfId="673">
      <pivotArea dataOnly="0" labelOnly="1" fieldPosition="0">
        <references count="3">
          <reference field="0" count="1" selected="0">
            <x v="11"/>
          </reference>
          <reference field="2" count="1" selected="0">
            <x v="11"/>
          </reference>
          <reference field="3" count="1">
            <x v="0"/>
          </reference>
        </references>
      </pivotArea>
    </format>
    <format dxfId="672">
      <pivotArea dataOnly="0" labelOnly="1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3" count="1">
            <x v="1"/>
          </reference>
        </references>
      </pivotArea>
    </format>
    <format dxfId="671">
      <pivotArea dataOnly="0" labelOnly="1" fieldPosition="0">
        <references count="3">
          <reference field="0" count="1" selected="0">
            <x v="13"/>
          </reference>
          <reference field="2" count="1" selected="0">
            <x v="1"/>
          </reference>
          <reference field="3" count="1">
            <x v="1"/>
          </reference>
        </references>
      </pivotArea>
    </format>
    <format dxfId="6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9">
      <pivotArea field="0" type="button" dataOnly="0" labelOnly="1" outline="0" axis="axisRow" fieldPosition="0"/>
    </format>
    <format dxfId="668">
      <pivotArea field="0" type="button" dataOnly="0" labelOnly="1" outline="0" axis="axisRow" fieldPosition="0"/>
    </format>
    <format dxfId="667">
      <pivotArea field="0" type="button" dataOnly="0" labelOnly="1" outline="0" axis="axisRow" fieldPosition="0"/>
    </format>
    <format dxfId="66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F50336-A2D9-4B73-8006-63C0228D0D38}" name="Main" displayName="Main" ref="C4:I89" totalsRowCount="1" headerRowDxfId="980" dataDxfId="978" totalsRowDxfId="977" headerRowBorderDxfId="979" totalsRowBorderDxfId="976">
  <autoFilter ref="C4:I88" xr:uid="{F5F50336-A2D9-4B73-8006-63C0228D0D38}"/>
  <tableColumns count="7">
    <tableColumn id="1" xr3:uid="{E7FDCB98-AF6E-4493-81D9-A5A2C5307743}" name="Customer Name" dataDxfId="975" totalsRowDxfId="8"/>
    <tableColumn id="2" xr3:uid="{CF22EE53-38E7-4C12-ABDC-89058DE63252}" name="Statement" totalsRowDxfId="7"/>
    <tableColumn id="3" xr3:uid="{1A709E40-EEEE-4B0F-A44D-851CC58953E6}" name="Value" totalsRowFunction="sum" dataDxfId="974" totalsRowDxfId="6"/>
    <tableColumn id="7" xr3:uid="{ECF7C9DB-5DC6-4DBA-86A5-4FE6CAE5A3F3}" name="Tax" dataDxfId="973" totalsRowDxfId="5">
      <calculatedColumnFormula>Main[[#This Row],[Value]]*0.14</calculatedColumnFormula>
    </tableColumn>
    <tableColumn id="4" xr3:uid="{56143403-22F4-4FD2-9E56-DAA758BE5DF3}" name="Region" totalsRowDxfId="4"/>
    <tableColumn id="5" xr3:uid="{E2BAE5D4-42EC-4822-9B96-EA91CA1BE434}" name="Date" totalsRowDxfId="3"/>
    <tableColumn id="8" xr3:uid="{0B4275E8-573C-41FB-94DD-F2D4CB86869A}" name="representative" dataDxfId="9" totalsRow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4AAFE-4DB5-4622-B60F-FF3E7815EE13}" name="Brief" displayName="Brief" ref="K4:O18" totalsRowShown="0" headerRowDxfId="972">
  <autoFilter ref="K4:O18" xr:uid="{20C4AAFE-4DB5-4622-B60F-FF3E7815EE13}"/>
  <tableColumns count="5">
    <tableColumn id="1" xr3:uid="{18ABC464-2F24-45CC-A081-628C5E4A508C}" name="Customer" dataDxfId="971"/>
    <tableColumn id="2" xr3:uid="{51767B3F-AAF9-4226-853A-05A35AD05B2C}" name="Net Sales" dataDxfId="970">
      <calculatedColumnFormula>H91</calculatedColumnFormula>
    </tableColumn>
    <tableColumn id="7" xr3:uid="{926F6821-A7FE-4659-A6D9-D60825F40572}" name="Region" dataDxfId="969">
      <calculatedColumnFormula>VLOOKUP(Brief[[#This Row],[Customer]],Base[],2,FALSE)</calculatedColumnFormula>
    </tableColumn>
    <tableColumn id="9" xr3:uid="{43730023-40ED-473E-8AB0-4E0D7C144DBD}" name="Classification" dataDxfId="968">
      <calculatedColumnFormula>IF(Brief[[#This Row],[Net Sales]]&gt;100000,"Class A",IF(Brief[[#This Row],[Net Sales]]&gt;35000,"Class B","Class C"))</calculatedColumnFormula>
    </tableColumn>
    <tableColumn id="10" xr3:uid="{EBF8B791-C437-4D98-A4FB-14E0ABD6B0EA}" name="Percentage" dataDxfId="967">
      <calculatedColumnFormula>Brief[[#This Row],[Net Sales]]/SUM(Brief[Net Sales])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ABCD8D-0DB6-4C4F-B436-4A7C5F01CBF5}" name="Base" displayName="Base" ref="B3:C17" totalsRowShown="0" headerRowDxfId="13" dataDxfId="12">
  <autoFilter ref="B3:C17" xr:uid="{94ABCD8D-0DB6-4C4F-B436-4A7C5F01CBF5}"/>
  <tableColumns count="2">
    <tableColumn id="1" xr3:uid="{E971BE5C-9A29-4F48-89D0-99618DD64B70}" name="Customer" dataDxfId="11"/>
    <tableColumn id="2" xr3:uid="{4C50DF3A-1DF3-429E-9BE4-F29AF06663D9}" name="Region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E69E-52E2-4B9F-98B1-2ACB63789343}">
  <sheetPr>
    <tabColor theme="7" tint="0.79998168889431442"/>
  </sheetPr>
  <dimension ref="C1:P220"/>
  <sheetViews>
    <sheetView rightToLeft="1" zoomScale="115" zoomScaleNormal="115" workbookViewId="0">
      <selection activeCell="I5" sqref="I5"/>
    </sheetView>
  </sheetViews>
  <sheetFormatPr defaultRowHeight="15" x14ac:dyDescent="0.25"/>
  <cols>
    <col min="2" max="2" width="7.5703125" customWidth="1"/>
    <col min="3" max="3" width="24" style="1" customWidth="1"/>
    <col min="4" max="7" width="20.42578125" style="1" customWidth="1"/>
    <col min="8" max="9" width="20.42578125" style="4" customWidth="1"/>
    <col min="10" max="11" width="27.7109375" style="21" customWidth="1"/>
    <col min="12" max="13" width="27.7109375" customWidth="1"/>
    <col min="14" max="15" width="28" customWidth="1"/>
  </cols>
  <sheetData>
    <row r="1" spans="3:16" ht="23.25" customHeight="1" thickTop="1" x14ac:dyDescent="0.25">
      <c r="C1" s="52" t="s">
        <v>45</v>
      </c>
      <c r="D1" s="53"/>
      <c r="E1" s="53"/>
      <c r="F1" s="53"/>
      <c r="G1" s="53"/>
      <c r="H1" s="53"/>
      <c r="I1" s="54"/>
      <c r="K1" s="51" t="s">
        <v>49</v>
      </c>
      <c r="L1" s="51"/>
      <c r="M1" s="51"/>
      <c r="N1" s="51"/>
      <c r="O1" s="51"/>
    </row>
    <row r="2" spans="3:16" ht="15" customHeight="1" thickBot="1" x14ac:dyDescent="0.3">
      <c r="C2" s="55"/>
      <c r="D2" s="56"/>
      <c r="E2" s="56"/>
      <c r="F2" s="56"/>
      <c r="G2" s="56"/>
      <c r="H2" s="56"/>
      <c r="I2" s="57"/>
      <c r="J2"/>
      <c r="K2" s="51"/>
      <c r="L2" s="51"/>
      <c r="M2" s="51"/>
      <c r="N2" s="51"/>
      <c r="O2" s="51"/>
    </row>
    <row r="3" spans="3:16" ht="15" customHeight="1" thickTop="1" thickBot="1" x14ac:dyDescent="0.3">
      <c r="C3" s="2"/>
      <c r="D3" s="2"/>
      <c r="E3" s="2"/>
      <c r="F3" s="2"/>
      <c r="G3" s="2"/>
      <c r="H3" s="2"/>
      <c r="I3" s="2"/>
      <c r="J3"/>
    </row>
    <row r="4" spans="3:16" ht="33.75" customHeight="1" thickTop="1" thickBot="1" x14ac:dyDescent="0.3">
      <c r="C4" s="6" t="s">
        <v>16</v>
      </c>
      <c r="D4" s="7" t="s">
        <v>15</v>
      </c>
      <c r="E4" s="7" t="s">
        <v>10</v>
      </c>
      <c r="F4" s="7" t="s">
        <v>11</v>
      </c>
      <c r="G4" s="7" t="s">
        <v>13</v>
      </c>
      <c r="H4" s="8" t="s">
        <v>14</v>
      </c>
      <c r="I4" s="7" t="s">
        <v>150</v>
      </c>
      <c r="J4"/>
      <c r="K4" s="22" t="s">
        <v>50</v>
      </c>
      <c r="L4" s="22" t="s">
        <v>51</v>
      </c>
      <c r="M4" s="22" t="s">
        <v>13</v>
      </c>
      <c r="N4" s="32" t="s">
        <v>52</v>
      </c>
      <c r="O4" s="22" t="s">
        <v>53</v>
      </c>
      <c r="P4" s="22"/>
    </row>
    <row r="5" spans="3:16" ht="15" customHeight="1" thickTop="1" x14ac:dyDescent="0.25">
      <c r="C5" s="9" t="s">
        <v>17</v>
      </c>
      <c r="D5" s="10" t="s">
        <v>7</v>
      </c>
      <c r="E5" s="28">
        <v>5000</v>
      </c>
      <c r="F5" s="10">
        <f>Main[[#This Row],[Value]]*0.14</f>
        <v>700.00000000000011</v>
      </c>
      <c r="G5" s="10" t="s">
        <v>31</v>
      </c>
      <c r="H5" s="70">
        <v>45091</v>
      </c>
      <c r="I5" s="71"/>
      <c r="J5"/>
      <c r="K5" s="21" t="s">
        <v>17</v>
      </c>
      <c r="L5" s="21">
        <f>SUMIFS(Main[Value],Main[Statement],"Bill",Main[Region],"Cairo")-(SUMIFS(Main[Value],Main[Statement],"Discount",Main[Region],"Cairo")+SUMIFS(Main[Value],Main[Statement],"Return",Main[Region],"Cairo")+SUMIFS(Main[Tax],Main[Region],"Cairo"))</f>
        <v>138976</v>
      </c>
      <c r="M5" s="24" t="str">
        <f>VLOOKUP(Brief[[#This Row],[Customer]],Base[],2,FALSE)</f>
        <v>Cairo</v>
      </c>
      <c r="N5" s="24" t="str">
        <f>IF(Brief[[#This Row],[Net Sales]]&gt;100000,"Class A",IF(Brief[[#This Row],[Net Sales]]&gt;35000,"Class B","Class C"))</f>
        <v>Class A</v>
      </c>
      <c r="O5" s="33">
        <f>Brief[[#This Row],[Net Sales]]/SUM(Brief[Net Sales])</f>
        <v>0.11871070552303402</v>
      </c>
      <c r="P5" s="21"/>
    </row>
    <row r="6" spans="3:16" ht="15" customHeight="1" x14ac:dyDescent="0.25">
      <c r="C6" s="11" t="s">
        <v>18</v>
      </c>
      <c r="D6" s="5" t="s">
        <v>7</v>
      </c>
      <c r="E6" s="29">
        <v>2000</v>
      </c>
      <c r="F6" s="5">
        <f>Main[[#This Row],[Value]]*0.14</f>
        <v>280</v>
      </c>
      <c r="G6" s="5" t="s">
        <v>32</v>
      </c>
      <c r="H6" s="31">
        <v>45092</v>
      </c>
      <c r="I6" s="72"/>
      <c r="J6"/>
      <c r="K6" s="21" t="s">
        <v>18</v>
      </c>
      <c r="L6" s="21">
        <f>SUMIFS(Main[Value],Main[Statement],"Bill",Main[Region],"Behira")-(SUMIFS(Main[Value],Main[Statement],"Discount",Main[Region],"Behira")+SUMIFS(Main[Value],Main[Statement],"Return",Main[Region],"Behira")+SUMIFS(Main[Tax],Main[Region],"Behira"))</f>
        <v>76896</v>
      </c>
      <c r="M6" s="24" t="str">
        <f>VLOOKUP(Brief[[#This Row],[Customer]],Base[],2,FALSE)</f>
        <v>Behira</v>
      </c>
      <c r="N6" s="24" t="str">
        <f>IF(Brief[[#This Row],[Net Sales]]&gt;100000,"Class A",IF(Brief[[#This Row],[Net Sales]]&gt;35000,"Class B","Class C"))</f>
        <v>Class B</v>
      </c>
      <c r="O6" s="33">
        <f>Brief[[#This Row],[Net Sales]]/SUM(Brief[Net Sales])</f>
        <v>6.5683128107725239E-2</v>
      </c>
      <c r="P6" s="21"/>
    </row>
    <row r="7" spans="3:16" ht="15" customHeight="1" x14ac:dyDescent="0.25">
      <c r="C7" s="11" t="s">
        <v>19</v>
      </c>
      <c r="D7" s="5" t="s">
        <v>7</v>
      </c>
      <c r="E7" s="29">
        <v>23000</v>
      </c>
      <c r="F7" s="5">
        <f>Main[[#This Row],[Value]]*0.14</f>
        <v>3220.0000000000005</v>
      </c>
      <c r="G7" s="5" t="s">
        <v>33</v>
      </c>
      <c r="H7" s="31">
        <v>45093</v>
      </c>
      <c r="I7" s="72"/>
      <c r="J7"/>
      <c r="K7" s="21" t="s">
        <v>19</v>
      </c>
      <c r="L7" s="21">
        <f>SUMIFS(Main[Value],Main[Statement],"Bill",Main[Region],"Alexandria")-(SUMIFS(Main[Value],Main[Statement],"Discount",Main[Region],"Alexandria")+SUMIFS(Main[Value],Main[Statement],"Return",Main[Region],"Alexandria")+SUMIFS(Main[Tax],Main[Region],"Alexandria"))</f>
        <v>227470</v>
      </c>
      <c r="M7" s="24" t="str">
        <f>VLOOKUP(Brief[[#This Row],[Customer]],Base[],2,FALSE)</f>
        <v>Alexandria</v>
      </c>
      <c r="N7" s="24" t="str">
        <f>IF(Brief[[#This Row],[Net Sales]]&gt;100000,"Class A",IF(Brief[[#This Row],[Net Sales]]&gt;35000,"Class B","Class C"))</f>
        <v>Class A</v>
      </c>
      <c r="O7" s="33">
        <f>Brief[[#This Row],[Net Sales]]/SUM(Brief[Net Sales])</f>
        <v>0.19430062877996596</v>
      </c>
      <c r="P7" s="21"/>
    </row>
    <row r="8" spans="3:16" ht="15" customHeight="1" x14ac:dyDescent="0.25">
      <c r="C8" s="11" t="s">
        <v>20</v>
      </c>
      <c r="D8" s="5" t="s">
        <v>7</v>
      </c>
      <c r="E8" s="29">
        <v>3200</v>
      </c>
      <c r="F8" s="5">
        <f>Main[[#This Row],[Value]]*0.14</f>
        <v>448.00000000000006</v>
      </c>
      <c r="G8" s="5" t="s">
        <v>34</v>
      </c>
      <c r="H8" s="31">
        <v>45094</v>
      </c>
      <c r="I8" s="72"/>
      <c r="J8"/>
      <c r="K8" s="21" t="s">
        <v>20</v>
      </c>
      <c r="L8" s="21">
        <f>SUMIFS(Main[Value],Main[Statement],"Bill",Main[Region],"Tanta")-(SUMIFS(Main[Value],Main[Statement],"Discount",Main[Region],"Tanta")+SUMIFS(Main[Value],Main[Statement],"Return",Main[Region],"Tanta")+SUMIFS(Main[Tax],Main[Region],"Tanta"))</f>
        <v>2746</v>
      </c>
      <c r="M8" s="24" t="str">
        <f>VLOOKUP(Brief[[#This Row],[Customer]],Base[],2,FALSE)</f>
        <v>Tanta</v>
      </c>
      <c r="N8" s="24" t="str">
        <f>IF(Brief[[#This Row],[Net Sales]]&gt;100000,"Class A",IF(Brief[[#This Row],[Net Sales]]&gt;35000,"Class B","Class C"))</f>
        <v>Class C</v>
      </c>
      <c r="O8" s="33">
        <f>Brief[[#This Row],[Net Sales]]/SUM(Brief[Net Sales])</f>
        <v>2.3455819520366928E-3</v>
      </c>
      <c r="P8" s="21"/>
    </row>
    <row r="9" spans="3:16" ht="15" customHeight="1" x14ac:dyDescent="0.25">
      <c r="C9" s="11" t="s">
        <v>21</v>
      </c>
      <c r="D9" s="5" t="s">
        <v>7</v>
      </c>
      <c r="E9" s="29">
        <v>84000</v>
      </c>
      <c r="F9" s="5">
        <f>Main[[#This Row],[Value]]*0.14</f>
        <v>11760.000000000002</v>
      </c>
      <c r="G9" s="5" t="s">
        <v>35</v>
      </c>
      <c r="H9" s="31">
        <v>45095</v>
      </c>
      <c r="I9" s="72"/>
      <c r="J9"/>
      <c r="K9" s="21" t="s">
        <v>21</v>
      </c>
      <c r="L9" s="21">
        <f>SUMIFS(Main[Value],Main[Statement],"Bill",Main[Region],"Minya")-(SUMIFS(Main[Value],Main[Statement],"Discount",Main[Region],"Minya")+SUMIFS(Main[Value],Main[Statement],"Return",Main[Region],"Minya")+SUMIFS(Main[Tax],Main[Region],"Minya"))</f>
        <v>48340</v>
      </c>
      <c r="M9" s="24" t="str">
        <f>VLOOKUP(Brief[[#This Row],[Customer]],Base[],2,FALSE)</f>
        <v>Minya</v>
      </c>
      <c r="N9" s="24" t="str">
        <f>IF(Brief[[#This Row],[Net Sales]]&gt;100000,"Class A",IF(Brief[[#This Row],[Net Sales]]&gt;35000,"Class B","Class C"))</f>
        <v>Class B</v>
      </c>
      <c r="O9" s="33">
        <f>Brief[[#This Row],[Net Sales]]/SUM(Brief[Net Sales])</f>
        <v>4.1291125841752999E-2</v>
      </c>
      <c r="P9" s="21"/>
    </row>
    <row r="10" spans="3:16" ht="15" customHeight="1" x14ac:dyDescent="0.25">
      <c r="C10" s="11" t="s">
        <v>22</v>
      </c>
      <c r="D10" s="5" t="s">
        <v>7</v>
      </c>
      <c r="E10" s="29">
        <v>2560</v>
      </c>
      <c r="F10" s="5">
        <f>Main[[#This Row],[Value]]*0.14</f>
        <v>358.40000000000003</v>
      </c>
      <c r="G10" s="5" t="s">
        <v>36</v>
      </c>
      <c r="H10" s="31">
        <v>45096</v>
      </c>
      <c r="I10" s="72"/>
      <c r="J10"/>
      <c r="K10" s="21" t="s">
        <v>22</v>
      </c>
      <c r="L10" s="21">
        <f>SUMIFS(Main[Value],Main[Statement],"Bill",Main[Region],"Sharqia")-(SUMIFS(Main[Value],Main[Statement],"Discount",Main[Region],"Sharqia")+SUMIFS(Main[Value],Main[Statement],"Return",Main[Region],"Sharqia")+SUMIFS(Main[Tax],Main[Region],"Sharqia"))</f>
        <v>36987.599999999999</v>
      </c>
      <c r="M10" s="24" t="str">
        <f>VLOOKUP(Brief[[#This Row],[Customer]],Base[],2,FALSE)</f>
        <v>Sharqia</v>
      </c>
      <c r="N10" s="24" t="str">
        <f>IF(Brief[[#This Row],[Net Sales]]&gt;100000,"Class A",IF(Brief[[#This Row],[Net Sales]]&gt;35000,"Class B","Class C"))</f>
        <v>Class B</v>
      </c>
      <c r="O10" s="33">
        <f>Brief[[#This Row],[Net Sales]]/SUM(Brief[Net Sales])</f>
        <v>3.1594117628970277E-2</v>
      </c>
      <c r="P10" s="21"/>
    </row>
    <row r="11" spans="3:16" ht="15" customHeight="1" x14ac:dyDescent="0.25">
      <c r="C11" s="11" t="s">
        <v>23</v>
      </c>
      <c r="D11" s="5" t="s">
        <v>7</v>
      </c>
      <c r="E11" s="29">
        <v>900</v>
      </c>
      <c r="F11" s="5">
        <f>Main[[#This Row],[Value]]*0.14</f>
        <v>126.00000000000001</v>
      </c>
      <c r="G11" s="5" t="s">
        <v>37</v>
      </c>
      <c r="H11" s="31">
        <v>45097</v>
      </c>
      <c r="I11" s="72"/>
      <c r="J11"/>
      <c r="K11" s="21" t="s">
        <v>23</v>
      </c>
      <c r="L11" s="21">
        <f>SUMIFS(Main[Value],Main[Statement],"Bill",Main[Region],"Aswan")-(SUMIFS(Main[Value],Main[Statement],"Discount",Main[Region],"Aswan")+SUMIFS(Main[Value],Main[Statement],"Return",Main[Region],"Aswan")+SUMIFS(Main[Tax],Main[Region],"Aswan"))</f>
        <v>42746</v>
      </c>
      <c r="M11" s="24" t="str">
        <f>VLOOKUP(Brief[[#This Row],[Customer]],Base[],2,FALSE)</f>
        <v>Aswan</v>
      </c>
      <c r="N11" s="24" t="str">
        <f>IF(Brief[[#This Row],[Net Sales]]&gt;100000,"Class A",IF(Brief[[#This Row],[Net Sales]]&gt;35000,"Class B","Class C"))</f>
        <v>Class B</v>
      </c>
      <c r="O11" s="33">
        <f>Brief[[#This Row],[Net Sales]]/SUM(Brief[Net Sales])</f>
        <v>3.6512835441282032E-2</v>
      </c>
      <c r="P11" s="21"/>
    </row>
    <row r="12" spans="3:16" ht="15" customHeight="1" x14ac:dyDescent="0.25">
      <c r="C12" s="11" t="s">
        <v>24</v>
      </c>
      <c r="D12" s="5" t="s">
        <v>7</v>
      </c>
      <c r="E12" s="29">
        <v>98000</v>
      </c>
      <c r="F12" s="5">
        <f>Main[[#This Row],[Value]]*0.14</f>
        <v>13720.000000000002</v>
      </c>
      <c r="G12" s="5" t="s">
        <v>38</v>
      </c>
      <c r="H12" s="31">
        <v>45098</v>
      </c>
      <c r="I12" s="72"/>
      <c r="J12"/>
      <c r="K12" s="21" t="s">
        <v>24</v>
      </c>
      <c r="L12" s="21">
        <f>SUMIFS(Main[Value],Main[Statement],"Bill",Main[Region],"Mansoura")-(SUMIFS(Main[Value],Main[Statement],"Discount",Main[Region],"Mansoura")+SUMIFS(Main[Value],Main[Statement],"Return",Main[Region],"Mansoura")+SUMIFS(Main[Tax],Main[Region],"Mansoura"))</f>
        <v>26256</v>
      </c>
      <c r="M12" s="24" t="str">
        <f>VLOOKUP(Brief[[#This Row],[Customer]],Base[],2,FALSE)</f>
        <v>Mansoura</v>
      </c>
      <c r="N12" s="24" t="str">
        <f>IF(Brief[[#This Row],[Net Sales]]&gt;100000,"Class A",IF(Brief[[#This Row],[Net Sales]]&gt;35000,"Class B","Class C"))</f>
        <v>Class C</v>
      </c>
      <c r="O12" s="33">
        <f>Brief[[#This Row],[Net Sales]]/SUM(Brief[Net Sales])</f>
        <v>2.2427385190340644E-2</v>
      </c>
      <c r="P12" s="21"/>
    </row>
    <row r="13" spans="3:16" ht="15" customHeight="1" x14ac:dyDescent="0.25">
      <c r="C13" s="11" t="s">
        <v>25</v>
      </c>
      <c r="D13" s="5" t="s">
        <v>7</v>
      </c>
      <c r="E13" s="29">
        <v>71000</v>
      </c>
      <c r="F13" s="5">
        <f>Main[[#This Row],[Value]]*0.14</f>
        <v>9940.0000000000018</v>
      </c>
      <c r="G13" s="5" t="s">
        <v>39</v>
      </c>
      <c r="H13" s="31">
        <v>45099</v>
      </c>
      <c r="I13" s="72"/>
      <c r="J13"/>
      <c r="K13" s="21" t="s">
        <v>25</v>
      </c>
      <c r="L13" s="21">
        <f>SUMIFS(Main[Value],Main[Statement],"Bill",Main[Region],"Giza")-(SUMIFS(Main[Value],Main[Statement],"Discount",Main[Region],"Giza")+SUMIFS(Main[Value],Main[Statement],"Return",Main[Region],"Giza")+SUMIFS(Main[Tax],Main[Region],"Giza"))</f>
        <v>14570</v>
      </c>
      <c r="M13" s="24" t="str">
        <f>VLOOKUP(Brief[[#This Row],[Customer]],Base[],2,FALSE)</f>
        <v>Giza</v>
      </c>
      <c r="N13" s="24" t="str">
        <f>IF(Brief[[#This Row],[Net Sales]]&gt;100000,"Class A",IF(Brief[[#This Row],[Net Sales]]&gt;35000,"Class B","Class C"))</f>
        <v>Class C</v>
      </c>
      <c r="O13" s="33">
        <f>Brief[[#This Row],[Net Sales]]/SUM(Brief[Net Sales])</f>
        <v>1.2445422083457615E-2</v>
      </c>
      <c r="P13" s="21"/>
    </row>
    <row r="14" spans="3:16" ht="15" customHeight="1" x14ac:dyDescent="0.25">
      <c r="C14" s="11" t="s">
        <v>26</v>
      </c>
      <c r="D14" s="5" t="s">
        <v>7</v>
      </c>
      <c r="E14" s="29">
        <v>41000</v>
      </c>
      <c r="F14" s="30">
        <f>Main[[#This Row],[Value]]*0.14</f>
        <v>5740.0000000000009</v>
      </c>
      <c r="G14" s="5" t="s">
        <v>40</v>
      </c>
      <c r="H14" s="31">
        <v>45100</v>
      </c>
      <c r="I14" s="72"/>
      <c r="J14"/>
      <c r="K14" s="21" t="s">
        <v>26</v>
      </c>
      <c r="L14" s="21">
        <f>SUMIFS(Main[Value],Main[Statement],"Bill",Main[Region],"Kafr El Sheikh")-(SUMIFS(Main[Value],Main[Statement],"Discount",Main[Region],"Kafr El Sheikh")+SUMIFS(Main[Value],Main[Statement],"Return",Main[Region],"Kafr El Sheikh")+SUMIFS(Main[Tax],Main[Region],"Kafr El Sheikh"))</f>
        <v>2844</v>
      </c>
      <c r="M14" s="24" t="str">
        <f>VLOOKUP(Brief[[#This Row],[Customer]],Base[],2,FALSE)</f>
        <v>Kafr El Sheikh</v>
      </c>
      <c r="N14" s="24" t="str">
        <f>IF(Brief[[#This Row],[Net Sales]]&gt;100000,"Class A",IF(Brief[[#This Row],[Net Sales]]&gt;35000,"Class B","Class C"))</f>
        <v>Class C</v>
      </c>
      <c r="O14" s="33">
        <f>Brief[[#This Row],[Net Sales]]/SUM(Brief[Net Sales])</f>
        <v>2.4292917230853439E-3</v>
      </c>
      <c r="P14" s="21"/>
    </row>
    <row r="15" spans="3:16" ht="15" customHeight="1" x14ac:dyDescent="0.25">
      <c r="C15" s="11" t="s">
        <v>27</v>
      </c>
      <c r="D15" s="5" t="s">
        <v>7</v>
      </c>
      <c r="E15" s="29">
        <v>2600</v>
      </c>
      <c r="F15" s="5">
        <f>Main[[#This Row],[Value]]*0.14</f>
        <v>364.00000000000006</v>
      </c>
      <c r="G15" s="5" t="s">
        <v>41</v>
      </c>
      <c r="H15" s="31">
        <v>45101</v>
      </c>
      <c r="I15" s="72"/>
      <c r="J15"/>
      <c r="K15" s="21" t="s">
        <v>27</v>
      </c>
      <c r="L15" s="21">
        <f>SUMIFS(Main[Value],Main[Statement],"Bill",Main[Region],"Beni Suef")-(SUMIFS(Main[Value],Main[Statement],"Discount",Main[Region],"Beni Suef")+SUMIFS(Main[Value],Main[Statement],"Return",Main[Region],"Beni Suef")+SUMIFS(Main[Tax],Main[Region],"Beni Suef"))</f>
        <v>103216</v>
      </c>
      <c r="M15" s="24" t="str">
        <f>VLOOKUP(Brief[[#This Row],[Customer]],Base[],2,FALSE)</f>
        <v>Beni Suef</v>
      </c>
      <c r="N15" s="24" t="str">
        <f>IF(Brief[[#This Row],[Net Sales]]&gt;100000,"Class A",IF(Brief[[#This Row],[Net Sales]]&gt;35000,"Class B","Class C"))</f>
        <v>Class A</v>
      </c>
      <c r="O15" s="33">
        <f>Brief[[#This Row],[Net Sales]]/SUM(Brief[Net Sales])</f>
        <v>8.8165180903648679E-2</v>
      </c>
      <c r="P15" s="21"/>
    </row>
    <row r="16" spans="3:16" ht="15" customHeight="1" x14ac:dyDescent="0.25">
      <c r="C16" s="11" t="s">
        <v>28</v>
      </c>
      <c r="D16" s="5" t="s">
        <v>7</v>
      </c>
      <c r="E16" s="29">
        <v>2800</v>
      </c>
      <c r="F16" s="5">
        <f>Main[[#This Row],[Value]]*0.14</f>
        <v>392.00000000000006</v>
      </c>
      <c r="G16" s="5" t="s">
        <v>42</v>
      </c>
      <c r="H16" s="31">
        <v>45102</v>
      </c>
      <c r="I16" s="72"/>
      <c r="J16"/>
      <c r="K16" s="21" t="s">
        <v>28</v>
      </c>
      <c r="L16" s="21">
        <f>SUMIFS(Main[Value],Main[Statement],"Bill",Main[Region],"Assiut")-(SUMIFS(Main[Value],Main[Statement],"Discount",Main[Region],"Assiut")+SUMIFS(Main[Value],Main[Statement],"Return",Main[Region],"Assiut")+SUMIFS(Main[Tax],Main[Region],"Assiut"))</f>
        <v>99628</v>
      </c>
      <c r="M16" s="24" t="str">
        <f>VLOOKUP(Brief[[#This Row],[Customer]],Base[],2,FALSE)</f>
        <v>Assiut</v>
      </c>
      <c r="N16" s="24" t="str">
        <f>IF(Brief[[#This Row],[Net Sales]]&gt;100000,"Class A",IF(Brief[[#This Row],[Net Sales]]&gt;35000,"Class B","Class C"))</f>
        <v>Class B</v>
      </c>
      <c r="O16" s="33">
        <f>Brief[[#This Row],[Net Sales]]/SUM(Brief[Net Sales])</f>
        <v>8.5100378265663371E-2</v>
      </c>
      <c r="P16" s="21"/>
    </row>
    <row r="17" spans="3:16" ht="15" customHeight="1" x14ac:dyDescent="0.25">
      <c r="C17" s="11" t="s">
        <v>29</v>
      </c>
      <c r="D17" s="5" t="s">
        <v>7</v>
      </c>
      <c r="E17" s="29">
        <v>9200</v>
      </c>
      <c r="F17" s="5">
        <f>Main[[#This Row],[Value]]*0.14</f>
        <v>1288.0000000000002</v>
      </c>
      <c r="G17" s="5" t="s">
        <v>43</v>
      </c>
      <c r="H17" s="31">
        <v>45103</v>
      </c>
      <c r="I17" s="72"/>
      <c r="J17"/>
      <c r="K17" s="21" t="s">
        <v>29</v>
      </c>
      <c r="L17" s="21">
        <f>SUMIFS(Main[Value],Main[Statement],"Bill",Main[Region],"Faiyum")-(SUMIFS(Main[Value],Main[Statement],"Discount",Main[Region],"Faiyum")+SUMIFS(Main[Value],Main[Statement],"Return",Main[Region],"Faiyum")+SUMIFS(Main[Tax],Main[Region],"Faiyum"))</f>
        <v>182578</v>
      </c>
      <c r="M17" s="24" t="str">
        <f>VLOOKUP(Brief[[#This Row],[Customer]],Base[],2,FALSE)</f>
        <v>Faiyum</v>
      </c>
      <c r="N17" s="24" t="str">
        <f>IF(Brief[[#This Row],[Net Sales]]&gt;100000,"Class A",IF(Brief[[#This Row],[Net Sales]]&gt;35000,"Class B","Class C"))</f>
        <v>Class A</v>
      </c>
      <c r="O17" s="33">
        <f>Brief[[#This Row],[Net Sales]]/SUM(Brief[Net Sales])</f>
        <v>0.1559547201889859</v>
      </c>
      <c r="P17" s="21"/>
    </row>
    <row r="18" spans="3:16" ht="15" customHeight="1" x14ac:dyDescent="0.25">
      <c r="C18" s="11" t="s">
        <v>30</v>
      </c>
      <c r="D18" s="5" t="s">
        <v>7</v>
      </c>
      <c r="E18" s="29">
        <v>6100</v>
      </c>
      <c r="F18" s="5">
        <f>Main[[#This Row],[Value]]*0.14</f>
        <v>854.00000000000011</v>
      </c>
      <c r="G18" s="5" t="s">
        <v>44</v>
      </c>
      <c r="H18" s="31">
        <v>45104</v>
      </c>
      <c r="I18" s="72"/>
      <c r="J18"/>
      <c r="K18" s="21" t="s">
        <v>30</v>
      </c>
      <c r="L18" s="21">
        <f>SUMIFS(Main[Value],Main[Statement],"Bill",Main[Region],"Port Said")-(SUMIFS(Main[Value],Main[Statement],"Discount",Main[Region],"Port Said")+SUMIFS(Main[Value],Main[Statement],"Return",Main[Region],"Port Said")+SUMIFS(Main[Tax],Main[Region],"Port Said"))</f>
        <v>167458</v>
      </c>
      <c r="M18" s="24" t="str">
        <f>VLOOKUP(Brief[[#This Row],[Customer]],Base[],2,FALSE)</f>
        <v>Port Said</v>
      </c>
      <c r="N18" s="24" t="str">
        <f>IF(Brief[[#This Row],[Net Sales]]&gt;100000,"Class A",IF(Brief[[#This Row],[Net Sales]]&gt;35000,"Class B","Class C"))</f>
        <v>Class A</v>
      </c>
      <c r="O18" s="33">
        <f>Brief[[#This Row],[Net Sales]]/SUM(Brief[Net Sales])</f>
        <v>0.14303949837005117</v>
      </c>
      <c r="P18" s="21"/>
    </row>
    <row r="19" spans="3:16" ht="15" customHeight="1" x14ac:dyDescent="0.25">
      <c r="C19" s="11" t="s">
        <v>17</v>
      </c>
      <c r="D19" s="5" t="s">
        <v>7</v>
      </c>
      <c r="E19" s="29">
        <v>3300</v>
      </c>
      <c r="F19" s="5">
        <f>Main[[#This Row],[Value]]*0.14</f>
        <v>462.00000000000006</v>
      </c>
      <c r="G19" s="5" t="s">
        <v>31</v>
      </c>
      <c r="H19" s="31">
        <v>45105</v>
      </c>
      <c r="I19" s="72"/>
      <c r="J19"/>
      <c r="L19" s="21"/>
    </row>
    <row r="20" spans="3:16" ht="15" customHeight="1" x14ac:dyDescent="0.25">
      <c r="C20" s="11" t="s">
        <v>18</v>
      </c>
      <c r="D20" s="5" t="s">
        <v>7</v>
      </c>
      <c r="E20" s="29">
        <v>6500</v>
      </c>
      <c r="F20" s="5">
        <f>Main[[#This Row],[Value]]*0.14</f>
        <v>910.00000000000011</v>
      </c>
      <c r="G20" s="5" t="s">
        <v>32</v>
      </c>
      <c r="H20" s="31">
        <v>45106</v>
      </c>
      <c r="I20" s="72"/>
      <c r="J20"/>
      <c r="L20" s="21"/>
    </row>
    <row r="21" spans="3:16" ht="15" customHeight="1" x14ac:dyDescent="0.25">
      <c r="C21" s="11" t="s">
        <v>19</v>
      </c>
      <c r="D21" s="5" t="s">
        <v>7</v>
      </c>
      <c r="E21" s="29">
        <v>7200</v>
      </c>
      <c r="F21" s="5">
        <f>Main[[#This Row],[Value]]*0.14</f>
        <v>1008.0000000000001</v>
      </c>
      <c r="G21" s="5" t="s">
        <v>33</v>
      </c>
      <c r="H21" s="31">
        <v>45107</v>
      </c>
      <c r="I21" s="72"/>
      <c r="J21"/>
      <c r="L21" s="21"/>
    </row>
    <row r="22" spans="3:16" ht="15" customHeight="1" x14ac:dyDescent="0.25">
      <c r="C22" s="11" t="s">
        <v>20</v>
      </c>
      <c r="D22" s="5" t="s">
        <v>7</v>
      </c>
      <c r="E22" s="29">
        <v>8100</v>
      </c>
      <c r="F22" s="5">
        <f>Main[[#This Row],[Value]]*0.14</f>
        <v>1134</v>
      </c>
      <c r="G22" s="5" t="s">
        <v>34</v>
      </c>
      <c r="H22" s="31">
        <v>45108</v>
      </c>
      <c r="I22" s="72"/>
      <c r="J22"/>
      <c r="L22" s="21"/>
    </row>
    <row r="23" spans="3:16" ht="15" customHeight="1" x14ac:dyDescent="0.25">
      <c r="C23" s="11" t="s">
        <v>21</v>
      </c>
      <c r="D23" s="5" t="s">
        <v>7</v>
      </c>
      <c r="E23" s="29">
        <v>41000</v>
      </c>
      <c r="F23" s="5">
        <f>Main[[#This Row],[Value]]*0.14</f>
        <v>5740.0000000000009</v>
      </c>
      <c r="G23" s="5" t="s">
        <v>35</v>
      </c>
      <c r="H23" s="31">
        <v>45109</v>
      </c>
      <c r="I23" s="72"/>
      <c r="J23"/>
      <c r="L23" s="21"/>
    </row>
    <row r="24" spans="3:16" ht="15" customHeight="1" x14ac:dyDescent="0.25">
      <c r="C24" s="11" t="s">
        <v>22</v>
      </c>
      <c r="D24" s="5" t="s">
        <v>7</v>
      </c>
      <c r="E24" s="29">
        <v>600</v>
      </c>
      <c r="F24" s="5">
        <f>Main[[#This Row],[Value]]*0.14</f>
        <v>84.000000000000014</v>
      </c>
      <c r="G24" s="5" t="s">
        <v>36</v>
      </c>
      <c r="H24" s="31">
        <v>45110</v>
      </c>
      <c r="I24" s="72"/>
      <c r="J24"/>
      <c r="L24" s="21"/>
    </row>
    <row r="25" spans="3:16" ht="15" customHeight="1" x14ac:dyDescent="0.25">
      <c r="C25" s="11" t="s">
        <v>23</v>
      </c>
      <c r="D25" s="5" t="s">
        <v>7</v>
      </c>
      <c r="E25" s="29">
        <v>4100</v>
      </c>
      <c r="F25" s="5">
        <f>Main[[#This Row],[Value]]*0.14</f>
        <v>574</v>
      </c>
      <c r="G25" s="5" t="s">
        <v>37</v>
      </c>
      <c r="H25" s="31">
        <v>45111</v>
      </c>
      <c r="I25" s="72"/>
      <c r="J25"/>
      <c r="L25" s="21"/>
    </row>
    <row r="26" spans="3:16" ht="15" customHeight="1" x14ac:dyDescent="0.25">
      <c r="C26" s="11" t="s">
        <v>24</v>
      </c>
      <c r="D26" s="5" t="s">
        <v>7</v>
      </c>
      <c r="E26" s="29">
        <v>8000</v>
      </c>
      <c r="F26" s="5">
        <f>Main[[#This Row],[Value]]*0.14</f>
        <v>1120</v>
      </c>
      <c r="G26" s="5" t="s">
        <v>38</v>
      </c>
      <c r="H26" s="31">
        <v>45112</v>
      </c>
      <c r="I26" s="72"/>
      <c r="J26"/>
      <c r="L26" s="21"/>
    </row>
    <row r="27" spans="3:16" ht="15" customHeight="1" x14ac:dyDescent="0.25">
      <c r="C27" s="11" t="s">
        <v>25</v>
      </c>
      <c r="D27" s="5" t="s">
        <v>7</v>
      </c>
      <c r="E27" s="29">
        <v>9200</v>
      </c>
      <c r="F27" s="5">
        <f>Main[[#This Row],[Value]]*0.14</f>
        <v>1288.0000000000002</v>
      </c>
      <c r="G27" s="5" t="s">
        <v>39</v>
      </c>
      <c r="H27" s="31">
        <v>45113</v>
      </c>
      <c r="I27" s="72"/>
      <c r="J27"/>
      <c r="L27" s="21"/>
    </row>
    <row r="28" spans="3:16" ht="15" customHeight="1" x14ac:dyDescent="0.25">
      <c r="C28" s="11" t="s">
        <v>26</v>
      </c>
      <c r="D28" s="5" t="s">
        <v>7</v>
      </c>
      <c r="E28" s="29">
        <v>81000</v>
      </c>
      <c r="F28" s="5">
        <f>Main[[#This Row],[Value]]*0.14</f>
        <v>11340.000000000002</v>
      </c>
      <c r="G28" s="5" t="s">
        <v>40</v>
      </c>
      <c r="H28" s="31">
        <v>45114</v>
      </c>
      <c r="I28" s="72"/>
      <c r="J28"/>
      <c r="L28" s="21"/>
    </row>
    <row r="29" spans="3:16" ht="15" customHeight="1" x14ac:dyDescent="0.25">
      <c r="C29" s="11" t="s">
        <v>27</v>
      </c>
      <c r="D29" s="5" t="s">
        <v>7</v>
      </c>
      <c r="E29" s="29">
        <v>6200</v>
      </c>
      <c r="F29" s="5">
        <f>Main[[#This Row],[Value]]*0.14</f>
        <v>868.00000000000011</v>
      </c>
      <c r="G29" s="5" t="s">
        <v>41</v>
      </c>
      <c r="H29" s="31">
        <v>45115</v>
      </c>
      <c r="I29" s="72"/>
      <c r="J29"/>
      <c r="L29" s="21"/>
    </row>
    <row r="30" spans="3:16" ht="15" customHeight="1" x14ac:dyDescent="0.25">
      <c r="C30" s="11" t="s">
        <v>28</v>
      </c>
      <c r="D30" s="5" t="s">
        <v>7</v>
      </c>
      <c r="E30" s="29">
        <v>6700</v>
      </c>
      <c r="F30" s="5">
        <f>Main[[#This Row],[Value]]*0.14</f>
        <v>938.00000000000011</v>
      </c>
      <c r="G30" s="5" t="s">
        <v>42</v>
      </c>
      <c r="H30" s="31">
        <v>45116</v>
      </c>
      <c r="I30" s="72"/>
      <c r="J30"/>
      <c r="L30" s="21"/>
    </row>
    <row r="31" spans="3:16" ht="15" customHeight="1" x14ac:dyDescent="0.25">
      <c r="C31" s="11" t="s">
        <v>29</v>
      </c>
      <c r="D31" s="5" t="s">
        <v>7</v>
      </c>
      <c r="E31" s="29">
        <v>800</v>
      </c>
      <c r="F31" s="5">
        <f>Main[[#This Row],[Value]]*0.14</f>
        <v>112.00000000000001</v>
      </c>
      <c r="G31" s="5" t="s">
        <v>43</v>
      </c>
      <c r="H31" s="31">
        <v>45117</v>
      </c>
      <c r="I31" s="72"/>
      <c r="J31"/>
      <c r="L31" s="21"/>
    </row>
    <row r="32" spans="3:16" ht="15" customHeight="1" x14ac:dyDescent="0.25">
      <c r="C32" s="11" t="s">
        <v>30</v>
      </c>
      <c r="D32" s="5" t="s">
        <v>7</v>
      </c>
      <c r="E32" s="29">
        <v>5500</v>
      </c>
      <c r="F32" s="5">
        <f>Main[[#This Row],[Value]]*0.14</f>
        <v>770.00000000000011</v>
      </c>
      <c r="G32" s="5" t="s">
        <v>44</v>
      </c>
      <c r="H32" s="31">
        <v>45118</v>
      </c>
      <c r="I32" s="72"/>
      <c r="J32"/>
      <c r="L32" s="21"/>
    </row>
    <row r="33" spans="3:12" ht="15" customHeight="1" x14ac:dyDescent="0.25">
      <c r="C33" s="11" t="s">
        <v>17</v>
      </c>
      <c r="D33" s="5" t="s">
        <v>7</v>
      </c>
      <c r="E33" s="29">
        <v>5800</v>
      </c>
      <c r="F33" s="5">
        <f>Main[[#This Row],[Value]]*0.14</f>
        <v>812.00000000000011</v>
      </c>
      <c r="G33" s="5" t="s">
        <v>31</v>
      </c>
      <c r="H33" s="31">
        <v>45119</v>
      </c>
      <c r="I33" s="72"/>
      <c r="J33"/>
      <c r="L33" s="21"/>
    </row>
    <row r="34" spans="3:12" ht="15" customHeight="1" x14ac:dyDescent="0.25">
      <c r="C34" s="11" t="s">
        <v>18</v>
      </c>
      <c r="D34" s="5" t="s">
        <v>7</v>
      </c>
      <c r="E34" s="29">
        <v>1100</v>
      </c>
      <c r="F34" s="5">
        <f>Main[[#This Row],[Value]]*0.14</f>
        <v>154.00000000000003</v>
      </c>
      <c r="G34" s="5" t="s">
        <v>32</v>
      </c>
      <c r="H34" s="31">
        <v>45120</v>
      </c>
      <c r="I34" s="72"/>
      <c r="J34"/>
      <c r="L34" s="21"/>
    </row>
    <row r="35" spans="3:12" ht="15" customHeight="1" x14ac:dyDescent="0.25">
      <c r="C35" s="11" t="s">
        <v>19</v>
      </c>
      <c r="D35" s="5" t="s">
        <v>7</v>
      </c>
      <c r="E35" s="29">
        <v>8700</v>
      </c>
      <c r="F35" s="5">
        <f>Main[[#This Row],[Value]]*0.14</f>
        <v>1218.0000000000002</v>
      </c>
      <c r="G35" s="5" t="s">
        <v>33</v>
      </c>
      <c r="H35" s="31">
        <v>45121</v>
      </c>
      <c r="I35" s="72"/>
      <c r="J35"/>
      <c r="L35" s="21"/>
    </row>
    <row r="36" spans="3:12" ht="15" customHeight="1" x14ac:dyDescent="0.25">
      <c r="C36" s="11" t="s">
        <v>20</v>
      </c>
      <c r="D36" s="5" t="s">
        <v>7</v>
      </c>
      <c r="E36" s="29">
        <v>9500</v>
      </c>
      <c r="F36" s="5">
        <f>Main[[#This Row],[Value]]*0.14</f>
        <v>1330.0000000000002</v>
      </c>
      <c r="G36" s="5" t="s">
        <v>34</v>
      </c>
      <c r="H36" s="31">
        <v>45122</v>
      </c>
      <c r="I36" s="72"/>
      <c r="J36"/>
      <c r="L36" s="21"/>
    </row>
    <row r="37" spans="3:12" ht="15" customHeight="1" x14ac:dyDescent="0.25">
      <c r="C37" s="11" t="s">
        <v>21</v>
      </c>
      <c r="D37" s="5" t="s">
        <v>7</v>
      </c>
      <c r="E37" s="29">
        <v>6300</v>
      </c>
      <c r="F37" s="5">
        <f>Main[[#This Row],[Value]]*0.14</f>
        <v>882.00000000000011</v>
      </c>
      <c r="G37" s="5" t="s">
        <v>35</v>
      </c>
      <c r="H37" s="31">
        <v>45123</v>
      </c>
      <c r="I37" s="72"/>
      <c r="J37"/>
      <c r="L37" s="21"/>
    </row>
    <row r="38" spans="3:12" ht="15" customHeight="1" x14ac:dyDescent="0.25">
      <c r="C38" s="11" t="s">
        <v>22</v>
      </c>
      <c r="D38" s="5" t="s">
        <v>7</v>
      </c>
      <c r="E38" s="29">
        <v>3500</v>
      </c>
      <c r="F38" s="5">
        <f>Main[[#This Row],[Value]]*0.14</f>
        <v>490.00000000000006</v>
      </c>
      <c r="G38" s="5" t="s">
        <v>36</v>
      </c>
      <c r="H38" s="31">
        <v>45124</v>
      </c>
      <c r="I38" s="72"/>
      <c r="J38"/>
      <c r="L38" s="21"/>
    </row>
    <row r="39" spans="3:12" ht="15" customHeight="1" x14ac:dyDescent="0.25">
      <c r="C39" s="11" t="s">
        <v>23</v>
      </c>
      <c r="D39" s="5" t="s">
        <v>7</v>
      </c>
      <c r="E39" s="29">
        <v>3900</v>
      </c>
      <c r="F39" s="5">
        <f>Main[[#This Row],[Value]]*0.14</f>
        <v>546</v>
      </c>
      <c r="G39" s="5" t="s">
        <v>37</v>
      </c>
      <c r="H39" s="31">
        <v>45125</v>
      </c>
      <c r="I39" s="72"/>
      <c r="J39"/>
      <c r="L39" s="21"/>
    </row>
    <row r="40" spans="3:12" ht="15" customHeight="1" x14ac:dyDescent="0.25">
      <c r="C40" s="11" t="s">
        <v>24</v>
      </c>
      <c r="D40" s="5" t="s">
        <v>7</v>
      </c>
      <c r="E40" s="29">
        <v>4600</v>
      </c>
      <c r="F40" s="5">
        <f>Main[[#This Row],[Value]]*0.14</f>
        <v>644.00000000000011</v>
      </c>
      <c r="G40" s="5" t="s">
        <v>38</v>
      </c>
      <c r="H40" s="31">
        <v>45126</v>
      </c>
      <c r="I40" s="72"/>
      <c r="J40"/>
      <c r="L40" s="21"/>
    </row>
    <row r="41" spans="3:12" ht="15" customHeight="1" x14ac:dyDescent="0.25">
      <c r="C41" s="11" t="s">
        <v>25</v>
      </c>
      <c r="D41" s="5" t="s">
        <v>7</v>
      </c>
      <c r="E41" s="29">
        <v>43000</v>
      </c>
      <c r="F41" s="5">
        <f>Main[[#This Row],[Value]]*0.14</f>
        <v>6020.0000000000009</v>
      </c>
      <c r="G41" s="5" t="s">
        <v>39</v>
      </c>
      <c r="H41" s="31">
        <v>45127</v>
      </c>
      <c r="I41" s="72"/>
      <c r="J41"/>
      <c r="L41" s="21"/>
    </row>
    <row r="42" spans="3:12" ht="15" customHeight="1" x14ac:dyDescent="0.25">
      <c r="C42" s="11" t="s">
        <v>26</v>
      </c>
      <c r="D42" s="5" t="s">
        <v>7</v>
      </c>
      <c r="E42" s="29">
        <v>10000</v>
      </c>
      <c r="F42" s="5">
        <f>Main[[#This Row],[Value]]*0.14</f>
        <v>1400.0000000000002</v>
      </c>
      <c r="G42" s="5" t="s">
        <v>40</v>
      </c>
      <c r="H42" s="31">
        <v>45128</v>
      </c>
      <c r="I42" s="72"/>
      <c r="J42"/>
      <c r="L42" s="21"/>
    </row>
    <row r="43" spans="3:12" ht="15" customHeight="1" x14ac:dyDescent="0.25">
      <c r="C43" s="11" t="s">
        <v>27</v>
      </c>
      <c r="D43" s="5" t="s">
        <v>7</v>
      </c>
      <c r="E43" s="29">
        <v>24000</v>
      </c>
      <c r="F43" s="5">
        <f>Main[[#This Row],[Value]]*0.14</f>
        <v>3360.0000000000005</v>
      </c>
      <c r="G43" s="5" t="s">
        <v>41</v>
      </c>
      <c r="H43" s="31">
        <v>45129</v>
      </c>
      <c r="I43" s="72"/>
      <c r="J43"/>
      <c r="L43" s="21"/>
    </row>
    <row r="44" spans="3:12" ht="15" customHeight="1" x14ac:dyDescent="0.25">
      <c r="C44" s="11" t="s">
        <v>28</v>
      </c>
      <c r="D44" s="5" t="s">
        <v>7</v>
      </c>
      <c r="E44" s="29">
        <v>51000</v>
      </c>
      <c r="F44" s="5">
        <f>Main[[#This Row],[Value]]*0.14</f>
        <v>7140.0000000000009</v>
      </c>
      <c r="G44" s="5" t="s">
        <v>42</v>
      </c>
      <c r="H44" s="31">
        <v>45130</v>
      </c>
      <c r="I44" s="72"/>
      <c r="J44"/>
      <c r="L44" s="21"/>
    </row>
    <row r="45" spans="3:12" ht="15" customHeight="1" x14ac:dyDescent="0.25">
      <c r="C45" s="11" t="s">
        <v>29</v>
      </c>
      <c r="D45" s="5" t="s">
        <v>7</v>
      </c>
      <c r="E45" s="29">
        <v>85000</v>
      </c>
      <c r="F45" s="5">
        <f>Main[[#This Row],[Value]]*0.14</f>
        <v>11900.000000000002</v>
      </c>
      <c r="G45" s="5" t="s">
        <v>43</v>
      </c>
      <c r="H45" s="31">
        <v>45131</v>
      </c>
      <c r="I45" s="72"/>
      <c r="J45"/>
      <c r="L45" s="21"/>
    </row>
    <row r="46" spans="3:12" ht="15" customHeight="1" x14ac:dyDescent="0.25">
      <c r="C46" s="11" t="s">
        <v>30</v>
      </c>
      <c r="D46" s="5" t="s">
        <v>7</v>
      </c>
      <c r="E46" s="29">
        <v>59000</v>
      </c>
      <c r="F46" s="5">
        <f>Main[[#This Row],[Value]]*0.14</f>
        <v>8260</v>
      </c>
      <c r="G46" s="5" t="s">
        <v>44</v>
      </c>
      <c r="H46" s="31">
        <v>45132</v>
      </c>
      <c r="I46" s="72"/>
      <c r="J46"/>
      <c r="L46" s="21"/>
    </row>
    <row r="47" spans="3:12" ht="15" customHeight="1" x14ac:dyDescent="0.25">
      <c r="C47" s="11" t="s">
        <v>17</v>
      </c>
      <c r="D47" s="5" t="s">
        <v>7</v>
      </c>
      <c r="E47" s="29">
        <v>72000</v>
      </c>
      <c r="F47" s="5">
        <f>Main[[#This Row],[Value]]*0.14</f>
        <v>10080.000000000002</v>
      </c>
      <c r="G47" s="5" t="s">
        <v>31</v>
      </c>
      <c r="H47" s="31">
        <v>45133</v>
      </c>
      <c r="I47" s="72"/>
      <c r="J47"/>
      <c r="L47" s="21"/>
    </row>
    <row r="48" spans="3:12" ht="15" customHeight="1" x14ac:dyDescent="0.25">
      <c r="C48" s="11" t="s">
        <v>18</v>
      </c>
      <c r="D48" s="5" t="s">
        <v>7</v>
      </c>
      <c r="E48" s="29">
        <v>86000</v>
      </c>
      <c r="F48" s="5">
        <f>Main[[#This Row],[Value]]*0.14</f>
        <v>12040.000000000002</v>
      </c>
      <c r="G48" s="5" t="s">
        <v>32</v>
      </c>
      <c r="H48" s="31">
        <v>45134</v>
      </c>
      <c r="I48" s="72"/>
      <c r="J48"/>
      <c r="L48" s="21"/>
    </row>
    <row r="49" spans="3:12" ht="15" customHeight="1" x14ac:dyDescent="0.25">
      <c r="C49" s="11" t="s">
        <v>19</v>
      </c>
      <c r="D49" s="5" t="s">
        <v>7</v>
      </c>
      <c r="E49" s="29">
        <v>52000</v>
      </c>
      <c r="F49" s="5">
        <f>Main[[#This Row],[Value]]*0.14</f>
        <v>7280.0000000000009</v>
      </c>
      <c r="G49" s="5" t="s">
        <v>33</v>
      </c>
      <c r="H49" s="31">
        <v>45135</v>
      </c>
      <c r="I49" s="72"/>
      <c r="J49"/>
      <c r="L49" s="21"/>
    </row>
    <row r="50" spans="3:12" ht="15" customHeight="1" x14ac:dyDescent="0.25">
      <c r="C50" s="11" t="s">
        <v>20</v>
      </c>
      <c r="D50" s="5" t="s">
        <v>7</v>
      </c>
      <c r="E50" s="29">
        <v>36000</v>
      </c>
      <c r="F50" s="5">
        <f>Main[[#This Row],[Value]]*0.14</f>
        <v>5040.0000000000009</v>
      </c>
      <c r="G50" s="5" t="s">
        <v>34</v>
      </c>
      <c r="H50" s="31">
        <v>45136</v>
      </c>
      <c r="I50" s="72"/>
      <c r="J50"/>
      <c r="L50" s="21"/>
    </row>
    <row r="51" spans="3:12" ht="15" customHeight="1" x14ac:dyDescent="0.25">
      <c r="C51" s="11" t="s">
        <v>21</v>
      </c>
      <c r="D51" s="5" t="s">
        <v>7</v>
      </c>
      <c r="E51" s="29">
        <v>12000</v>
      </c>
      <c r="F51" s="5">
        <f>Main[[#This Row],[Value]]*0.14</f>
        <v>1680.0000000000002</v>
      </c>
      <c r="G51" s="5" t="s">
        <v>35</v>
      </c>
      <c r="H51" s="31">
        <v>45137</v>
      </c>
      <c r="I51" s="72"/>
      <c r="J51"/>
      <c r="L51" s="21"/>
    </row>
    <row r="52" spans="3:12" ht="15" customHeight="1" x14ac:dyDescent="0.25">
      <c r="C52" s="11" t="s">
        <v>22</v>
      </c>
      <c r="D52" s="5" t="s">
        <v>7</v>
      </c>
      <c r="E52" s="29">
        <v>42000</v>
      </c>
      <c r="F52" s="5">
        <f>Main[[#This Row],[Value]]*0.14</f>
        <v>5880.0000000000009</v>
      </c>
      <c r="G52" s="5" t="s">
        <v>36</v>
      </c>
      <c r="H52" s="31">
        <v>45138</v>
      </c>
      <c r="I52" s="72"/>
      <c r="J52"/>
      <c r="L52" s="21"/>
    </row>
    <row r="53" spans="3:12" ht="15" customHeight="1" x14ac:dyDescent="0.25">
      <c r="C53" s="11" t="s">
        <v>23</v>
      </c>
      <c r="D53" s="5" t="s">
        <v>7</v>
      </c>
      <c r="E53" s="29">
        <v>46000</v>
      </c>
      <c r="F53" s="5">
        <f>Main[[#This Row],[Value]]*0.14</f>
        <v>6440.0000000000009</v>
      </c>
      <c r="G53" s="5" t="s">
        <v>37</v>
      </c>
      <c r="H53" s="31">
        <v>45139</v>
      </c>
      <c r="I53" s="72"/>
      <c r="J53"/>
      <c r="L53" s="21"/>
    </row>
    <row r="54" spans="3:12" ht="15" customHeight="1" x14ac:dyDescent="0.25">
      <c r="C54" s="11" t="s">
        <v>24</v>
      </c>
      <c r="D54" s="5" t="s">
        <v>7</v>
      </c>
      <c r="E54" s="29">
        <v>22000</v>
      </c>
      <c r="F54" s="5">
        <f>Main[[#This Row],[Value]]*0.14</f>
        <v>3080.0000000000005</v>
      </c>
      <c r="G54" s="5" t="s">
        <v>38</v>
      </c>
      <c r="H54" s="31">
        <v>45140</v>
      </c>
      <c r="I54" s="72"/>
      <c r="J54"/>
      <c r="L54" s="21"/>
    </row>
    <row r="55" spans="3:12" ht="15" customHeight="1" x14ac:dyDescent="0.25">
      <c r="C55" s="11" t="s">
        <v>25</v>
      </c>
      <c r="D55" s="5" t="s">
        <v>7</v>
      </c>
      <c r="E55" s="29">
        <v>32000</v>
      </c>
      <c r="F55" s="5">
        <f>Main[[#This Row],[Value]]*0.14</f>
        <v>4480</v>
      </c>
      <c r="G55" s="5" t="s">
        <v>39</v>
      </c>
      <c r="H55" s="31">
        <v>45141</v>
      </c>
      <c r="I55" s="72"/>
      <c r="J55"/>
      <c r="L55" s="21"/>
    </row>
    <row r="56" spans="3:12" ht="15" customHeight="1" x14ac:dyDescent="0.25">
      <c r="C56" s="11" t="s">
        <v>26</v>
      </c>
      <c r="D56" s="5" t="s">
        <v>7</v>
      </c>
      <c r="E56" s="29">
        <v>15000</v>
      </c>
      <c r="F56" s="5">
        <f>Main[[#This Row],[Value]]*0.14</f>
        <v>2100</v>
      </c>
      <c r="G56" s="5" t="s">
        <v>40</v>
      </c>
      <c r="H56" s="31">
        <v>45142</v>
      </c>
      <c r="I56" s="72"/>
      <c r="J56"/>
      <c r="L56" s="21"/>
    </row>
    <row r="57" spans="3:12" ht="15" customHeight="1" x14ac:dyDescent="0.25">
      <c r="C57" s="11" t="s">
        <v>27</v>
      </c>
      <c r="D57" s="5" t="s">
        <v>7</v>
      </c>
      <c r="E57" s="29">
        <v>95000</v>
      </c>
      <c r="F57" s="5">
        <f>Main[[#This Row],[Value]]*0.14</f>
        <v>13300.000000000002</v>
      </c>
      <c r="G57" s="5" t="s">
        <v>41</v>
      </c>
      <c r="H57" s="31">
        <v>45143</v>
      </c>
      <c r="I57" s="72"/>
      <c r="J57"/>
      <c r="L57" s="21"/>
    </row>
    <row r="58" spans="3:12" ht="15" customHeight="1" x14ac:dyDescent="0.25">
      <c r="C58" s="11" t="s">
        <v>28</v>
      </c>
      <c r="D58" s="5" t="s">
        <v>7</v>
      </c>
      <c r="E58" s="29">
        <v>68000</v>
      </c>
      <c r="F58" s="5">
        <f>Main[[#This Row],[Value]]*0.14</f>
        <v>9520</v>
      </c>
      <c r="G58" s="5" t="s">
        <v>42</v>
      </c>
      <c r="H58" s="31">
        <v>45144</v>
      </c>
      <c r="I58" s="72"/>
      <c r="J58"/>
      <c r="L58" s="21"/>
    </row>
    <row r="59" spans="3:12" ht="15" customHeight="1" x14ac:dyDescent="0.25">
      <c r="C59" s="11" t="s">
        <v>29</v>
      </c>
      <c r="D59" s="5" t="s">
        <v>7</v>
      </c>
      <c r="E59" s="29">
        <v>74000</v>
      </c>
      <c r="F59" s="5">
        <f>Main[[#This Row],[Value]]*0.14</f>
        <v>10360.000000000002</v>
      </c>
      <c r="G59" s="5" t="s">
        <v>43</v>
      </c>
      <c r="H59" s="31">
        <v>45145</v>
      </c>
      <c r="I59" s="72"/>
      <c r="J59"/>
      <c r="L59" s="21"/>
    </row>
    <row r="60" spans="3:12" ht="15" customHeight="1" x14ac:dyDescent="0.25">
      <c r="C60" s="11" t="s">
        <v>30</v>
      </c>
      <c r="D60" s="5" t="s">
        <v>7</v>
      </c>
      <c r="E60" s="29">
        <v>81000</v>
      </c>
      <c r="F60" s="5">
        <f>Main[[#This Row],[Value]]*0.14</f>
        <v>11340.000000000002</v>
      </c>
      <c r="G60" s="5" t="s">
        <v>44</v>
      </c>
      <c r="H60" s="31">
        <v>45146</v>
      </c>
      <c r="I60" s="72"/>
      <c r="J60"/>
      <c r="L60" s="21"/>
    </row>
    <row r="61" spans="3:12" ht="15" customHeight="1" x14ac:dyDescent="0.25">
      <c r="C61" s="11" t="s">
        <v>17</v>
      </c>
      <c r="D61" s="5" t="s">
        <v>7</v>
      </c>
      <c r="E61" s="29">
        <v>63000</v>
      </c>
      <c r="F61" s="5">
        <f>Main[[#This Row],[Value]]*0.14</f>
        <v>8820</v>
      </c>
      <c r="G61" s="5" t="s">
        <v>31</v>
      </c>
      <c r="H61" s="31">
        <v>45147</v>
      </c>
      <c r="I61" s="72"/>
      <c r="J61"/>
      <c r="L61" s="21"/>
    </row>
    <row r="62" spans="3:12" ht="15" customHeight="1" x14ac:dyDescent="0.25">
      <c r="C62" s="11" t="s">
        <v>18</v>
      </c>
      <c r="D62" s="5" t="s">
        <v>7</v>
      </c>
      <c r="E62" s="29">
        <v>76000</v>
      </c>
      <c r="F62" s="5">
        <f>Main[[#This Row],[Value]]*0.14</f>
        <v>10640.000000000002</v>
      </c>
      <c r="G62" s="5" t="s">
        <v>32</v>
      </c>
      <c r="H62" s="31">
        <v>45148</v>
      </c>
      <c r="I62" s="72"/>
      <c r="J62"/>
      <c r="L62" s="21"/>
    </row>
    <row r="63" spans="3:12" ht="15" customHeight="1" x14ac:dyDescent="0.25">
      <c r="C63" s="11" t="s">
        <v>19</v>
      </c>
      <c r="D63" s="5" t="s">
        <v>7</v>
      </c>
      <c r="E63" s="29">
        <v>89000</v>
      </c>
      <c r="F63" s="5">
        <f>Main[[#This Row],[Value]]*0.14</f>
        <v>12460.000000000002</v>
      </c>
      <c r="G63" s="5" t="s">
        <v>33</v>
      </c>
      <c r="H63" s="31">
        <v>45149</v>
      </c>
      <c r="I63" s="72"/>
      <c r="J63"/>
      <c r="L63" s="21"/>
    </row>
    <row r="64" spans="3:12" ht="15" customHeight="1" x14ac:dyDescent="0.25">
      <c r="C64" s="11" t="s">
        <v>20</v>
      </c>
      <c r="D64" s="5" t="s">
        <v>7</v>
      </c>
      <c r="E64" s="29">
        <v>25000</v>
      </c>
      <c r="F64" s="5">
        <f>Main[[#This Row],[Value]]*0.14</f>
        <v>3500.0000000000005</v>
      </c>
      <c r="G64" s="5" t="s">
        <v>34</v>
      </c>
      <c r="H64" s="31">
        <v>45150</v>
      </c>
      <c r="I64" s="72"/>
      <c r="J64"/>
      <c r="L64" s="21"/>
    </row>
    <row r="65" spans="3:12" ht="15" customHeight="1" x14ac:dyDescent="0.25">
      <c r="C65" s="11" t="s">
        <v>21</v>
      </c>
      <c r="D65" s="5" t="s">
        <v>9</v>
      </c>
      <c r="E65" s="29">
        <v>23000</v>
      </c>
      <c r="F65" s="5">
        <f>Main[[#This Row],[Value]]*0.14</f>
        <v>3220.0000000000005</v>
      </c>
      <c r="G65" s="5" t="s">
        <v>35</v>
      </c>
      <c r="H65" s="31">
        <v>45151</v>
      </c>
      <c r="I65" s="72"/>
      <c r="J65"/>
      <c r="L65" s="21"/>
    </row>
    <row r="66" spans="3:12" ht="15" customHeight="1" x14ac:dyDescent="0.25">
      <c r="C66" s="11" t="s">
        <v>22</v>
      </c>
      <c r="D66" s="5" t="s">
        <v>9</v>
      </c>
      <c r="E66" s="29">
        <v>32100</v>
      </c>
      <c r="F66" s="5">
        <f>Main[[#This Row],[Value]]*0.14</f>
        <v>4494</v>
      </c>
      <c r="G66" s="5" t="s">
        <v>36</v>
      </c>
      <c r="H66" s="31">
        <v>45152</v>
      </c>
      <c r="I66" s="72"/>
      <c r="J66"/>
      <c r="L66" s="21"/>
    </row>
    <row r="67" spans="3:12" ht="15" customHeight="1" x14ac:dyDescent="0.25">
      <c r="C67" s="11" t="s">
        <v>23</v>
      </c>
      <c r="D67" s="5" t="s">
        <v>9</v>
      </c>
      <c r="E67" s="29">
        <v>26400</v>
      </c>
      <c r="F67" s="5">
        <f>Main[[#This Row],[Value]]*0.14</f>
        <v>3696.0000000000005</v>
      </c>
      <c r="G67" s="5" t="s">
        <v>37</v>
      </c>
      <c r="H67" s="31">
        <v>45153</v>
      </c>
      <c r="I67" s="72"/>
      <c r="J67"/>
      <c r="L67" s="21"/>
    </row>
    <row r="68" spans="3:12" ht="15" customHeight="1" x14ac:dyDescent="0.25">
      <c r="C68" s="11" t="s">
        <v>24</v>
      </c>
      <c r="D68" s="5" t="s">
        <v>9</v>
      </c>
      <c r="E68" s="29">
        <v>21800</v>
      </c>
      <c r="F68" s="5">
        <f>Main[[#This Row],[Value]]*0.14</f>
        <v>3052.0000000000005</v>
      </c>
      <c r="G68" s="5" t="s">
        <v>38</v>
      </c>
      <c r="H68" s="31">
        <v>45154</v>
      </c>
      <c r="I68" s="72"/>
      <c r="J68"/>
      <c r="L68" s="21"/>
    </row>
    <row r="69" spans="3:12" ht="15" customHeight="1" x14ac:dyDescent="0.25">
      <c r="C69" s="11" t="s">
        <v>25</v>
      </c>
      <c r="D69" s="5" t="s">
        <v>9</v>
      </c>
      <c r="E69" s="29">
        <v>56200</v>
      </c>
      <c r="F69" s="5">
        <f>Main[[#This Row],[Value]]*0.14</f>
        <v>7868.0000000000009</v>
      </c>
      <c r="G69" s="5" t="s">
        <v>39</v>
      </c>
      <c r="H69" s="31">
        <v>45155</v>
      </c>
      <c r="I69" s="72"/>
      <c r="J69"/>
      <c r="L69" s="21"/>
    </row>
    <row r="70" spans="3:12" ht="15" customHeight="1" x14ac:dyDescent="0.25">
      <c r="C70" s="11" t="s">
        <v>26</v>
      </c>
      <c r="D70" s="5" t="s">
        <v>9</v>
      </c>
      <c r="E70" s="29">
        <v>52000</v>
      </c>
      <c r="F70" s="5">
        <f>Main[[#This Row],[Value]]*0.14</f>
        <v>7280.0000000000009</v>
      </c>
      <c r="G70" s="5" t="s">
        <v>40</v>
      </c>
      <c r="H70" s="31">
        <v>45156</v>
      </c>
      <c r="I70" s="72"/>
      <c r="J70"/>
      <c r="L70" s="21"/>
    </row>
    <row r="71" spans="3:12" ht="15" customHeight="1" x14ac:dyDescent="0.25">
      <c r="C71" s="11" t="s">
        <v>27</v>
      </c>
      <c r="D71" s="5" t="s">
        <v>9</v>
      </c>
      <c r="E71" s="29">
        <v>23900</v>
      </c>
      <c r="F71" s="5">
        <f>Main[[#This Row],[Value]]*0.14</f>
        <v>3346.0000000000005</v>
      </c>
      <c r="G71" s="5" t="s">
        <v>41</v>
      </c>
      <c r="H71" s="31">
        <v>45157</v>
      </c>
      <c r="I71" s="72"/>
      <c r="J71"/>
      <c r="L71" s="21"/>
    </row>
    <row r="72" spans="3:12" ht="15" customHeight="1" x14ac:dyDescent="0.25">
      <c r="C72" s="11" t="s">
        <v>28</v>
      </c>
      <c r="D72" s="5" t="s">
        <v>9</v>
      </c>
      <c r="E72" s="29">
        <v>27500</v>
      </c>
      <c r="F72" s="5">
        <f>Main[[#This Row],[Value]]*0.14</f>
        <v>3850.0000000000005</v>
      </c>
      <c r="G72" s="5" t="s">
        <v>42</v>
      </c>
      <c r="H72" s="31">
        <v>45158</v>
      </c>
      <c r="I72" s="72"/>
      <c r="J72"/>
      <c r="L72" s="21"/>
    </row>
    <row r="73" spans="3:12" ht="15" customHeight="1" x14ac:dyDescent="0.25">
      <c r="C73" s="11" t="s">
        <v>29</v>
      </c>
      <c r="D73" s="5" t="s">
        <v>7</v>
      </c>
      <c r="E73" s="29">
        <v>28600</v>
      </c>
      <c r="F73" s="5">
        <f>Main[[#This Row],[Value]]*0.14</f>
        <v>4004.0000000000005</v>
      </c>
      <c r="G73" s="5" t="s">
        <v>43</v>
      </c>
      <c r="H73" s="31">
        <v>45159</v>
      </c>
      <c r="I73" s="72"/>
      <c r="J73"/>
      <c r="L73" s="21"/>
    </row>
    <row r="74" spans="3:12" ht="15" customHeight="1" x14ac:dyDescent="0.25">
      <c r="C74" s="11" t="s">
        <v>30</v>
      </c>
      <c r="D74" s="5" t="s">
        <v>9</v>
      </c>
      <c r="E74" s="29">
        <v>32500</v>
      </c>
      <c r="F74" s="5">
        <f>Main[[#This Row],[Value]]*0.14</f>
        <v>4550</v>
      </c>
      <c r="G74" s="5" t="s">
        <v>44</v>
      </c>
      <c r="H74" s="31">
        <v>45160</v>
      </c>
      <c r="I74" s="72"/>
      <c r="J74"/>
      <c r="L74" s="21"/>
    </row>
    <row r="75" spans="3:12" ht="15" customHeight="1" x14ac:dyDescent="0.25">
      <c r="C75" s="11" t="s">
        <v>17</v>
      </c>
      <c r="D75" s="5" t="s">
        <v>7</v>
      </c>
      <c r="E75" s="29">
        <v>12500</v>
      </c>
      <c r="F75" s="5">
        <f>Main[[#This Row],[Value]]*0.14</f>
        <v>1750.0000000000002</v>
      </c>
      <c r="G75" s="5" t="s">
        <v>31</v>
      </c>
      <c r="H75" s="31">
        <v>45161</v>
      </c>
      <c r="I75" s="72"/>
      <c r="J75"/>
      <c r="L75" s="21"/>
    </row>
    <row r="76" spans="3:12" ht="15" customHeight="1" x14ac:dyDescent="0.25">
      <c r="C76" s="11" t="s">
        <v>18</v>
      </c>
      <c r="D76" s="5" t="s">
        <v>9</v>
      </c>
      <c r="E76" s="29">
        <v>62000</v>
      </c>
      <c r="F76" s="5">
        <f>Main[[#This Row],[Value]]*0.14</f>
        <v>8680</v>
      </c>
      <c r="G76" s="5" t="s">
        <v>32</v>
      </c>
      <c r="H76" s="31">
        <v>45162</v>
      </c>
      <c r="I76" s="72"/>
      <c r="J76"/>
      <c r="L76" s="21"/>
    </row>
    <row r="77" spans="3:12" ht="15" customHeight="1" x14ac:dyDescent="0.25">
      <c r="C77" s="11" t="s">
        <v>19</v>
      </c>
      <c r="D77" s="5" t="s">
        <v>7</v>
      </c>
      <c r="E77" s="29">
        <v>84600</v>
      </c>
      <c r="F77" s="5">
        <f>Main[[#This Row],[Value]]*0.14</f>
        <v>11844.000000000002</v>
      </c>
      <c r="G77" s="5" t="s">
        <v>33</v>
      </c>
      <c r="H77" s="31">
        <v>45163</v>
      </c>
      <c r="I77" s="72"/>
      <c r="J77"/>
      <c r="L77" s="21"/>
    </row>
    <row r="78" spans="3:12" ht="15" customHeight="1" x14ac:dyDescent="0.25">
      <c r="C78" s="11" t="s">
        <v>20</v>
      </c>
      <c r="D78" s="5" t="s">
        <v>9</v>
      </c>
      <c r="E78" s="29">
        <v>59300</v>
      </c>
      <c r="F78" s="5">
        <f>Main[[#This Row],[Value]]*0.14</f>
        <v>8302</v>
      </c>
      <c r="G78" s="5" t="s">
        <v>34</v>
      </c>
      <c r="H78" s="31">
        <v>45164</v>
      </c>
      <c r="I78" s="72"/>
      <c r="J78"/>
      <c r="L78" s="21"/>
    </row>
    <row r="79" spans="3:12" ht="15" customHeight="1" x14ac:dyDescent="0.25">
      <c r="C79" s="11" t="s">
        <v>21</v>
      </c>
      <c r="D79" s="5" t="s">
        <v>9</v>
      </c>
      <c r="E79" s="29">
        <v>42700</v>
      </c>
      <c r="F79" s="5">
        <f>Main[[#This Row],[Value]]*0.14</f>
        <v>5978.0000000000009</v>
      </c>
      <c r="G79" s="5" t="s">
        <v>35</v>
      </c>
      <c r="H79" s="31">
        <v>45165</v>
      </c>
      <c r="I79" s="72"/>
      <c r="J79"/>
      <c r="L79" s="21"/>
    </row>
    <row r="80" spans="3:12" ht="15" customHeight="1" x14ac:dyDescent="0.25">
      <c r="C80" s="11" t="s">
        <v>22</v>
      </c>
      <c r="D80" s="5" t="s">
        <v>7</v>
      </c>
      <c r="E80" s="29">
        <v>36900</v>
      </c>
      <c r="F80" s="5">
        <f>Main[[#This Row],[Value]]*0.14</f>
        <v>5166.0000000000009</v>
      </c>
      <c r="G80" s="5" t="s">
        <v>36</v>
      </c>
      <c r="H80" s="31">
        <v>45166</v>
      </c>
      <c r="I80" s="72"/>
      <c r="J80"/>
      <c r="L80" s="21"/>
    </row>
    <row r="81" spans="3:12" ht="15" customHeight="1" x14ac:dyDescent="0.25">
      <c r="C81" s="11" t="s">
        <v>23</v>
      </c>
      <c r="D81" s="5" t="s">
        <v>7</v>
      </c>
      <c r="E81" s="29">
        <v>29800</v>
      </c>
      <c r="F81" s="5">
        <f>Main[[#This Row],[Value]]*0.14</f>
        <v>4172</v>
      </c>
      <c r="G81" s="5" t="s">
        <v>37</v>
      </c>
      <c r="H81" s="31">
        <v>45167</v>
      </c>
      <c r="I81" s="72"/>
      <c r="J81"/>
      <c r="L81" s="21"/>
    </row>
    <row r="82" spans="3:12" ht="15" customHeight="1" x14ac:dyDescent="0.25">
      <c r="C82" s="11" t="s">
        <v>24</v>
      </c>
      <c r="D82" s="5" t="s">
        <v>9</v>
      </c>
      <c r="E82" s="29">
        <v>55200</v>
      </c>
      <c r="F82" s="5">
        <f>Main[[#This Row],[Value]]*0.14</f>
        <v>7728.0000000000009</v>
      </c>
      <c r="G82" s="5" t="s">
        <v>38</v>
      </c>
      <c r="H82" s="31">
        <v>45168</v>
      </c>
      <c r="I82" s="72"/>
      <c r="J82"/>
      <c r="L82" s="21"/>
    </row>
    <row r="83" spans="3:12" ht="15" customHeight="1" x14ac:dyDescent="0.25">
      <c r="C83" s="11" t="s">
        <v>25</v>
      </c>
      <c r="D83" s="5" t="s">
        <v>8</v>
      </c>
      <c r="E83" s="29">
        <v>48100</v>
      </c>
      <c r="F83" s="5">
        <f>Main[[#This Row],[Value]]*0.14</f>
        <v>6734.0000000000009</v>
      </c>
      <c r="G83" s="5" t="s">
        <v>39</v>
      </c>
      <c r="H83" s="31">
        <v>45169</v>
      </c>
      <c r="I83" s="72"/>
      <c r="J83"/>
      <c r="L83" s="21"/>
    </row>
    <row r="84" spans="3:12" ht="15" customHeight="1" x14ac:dyDescent="0.25">
      <c r="C84" s="11" t="s">
        <v>26</v>
      </c>
      <c r="D84" s="5" t="s">
        <v>8</v>
      </c>
      <c r="E84" s="29">
        <v>56400</v>
      </c>
      <c r="F84" s="5">
        <f>Main[[#This Row],[Value]]*0.14</f>
        <v>7896.0000000000009</v>
      </c>
      <c r="G84" s="5" t="s">
        <v>40</v>
      </c>
      <c r="H84" s="31">
        <v>45170</v>
      </c>
      <c r="I84" s="72"/>
      <c r="J84"/>
      <c r="L84" s="21"/>
    </row>
    <row r="85" spans="3:12" ht="15" customHeight="1" x14ac:dyDescent="0.25">
      <c r="C85" s="11" t="s">
        <v>27</v>
      </c>
      <c r="D85" s="5" t="s">
        <v>7</v>
      </c>
      <c r="E85" s="29">
        <v>23900</v>
      </c>
      <c r="F85" s="5">
        <f>Main[[#This Row],[Value]]*0.14</f>
        <v>3346.0000000000005</v>
      </c>
      <c r="G85" s="5" t="s">
        <v>41</v>
      </c>
      <c r="H85" s="31">
        <v>45171</v>
      </c>
      <c r="I85" s="72"/>
      <c r="J85"/>
      <c r="L85" s="21"/>
    </row>
    <row r="86" spans="3:12" ht="15" customHeight="1" x14ac:dyDescent="0.25">
      <c r="C86" s="11" t="s">
        <v>28</v>
      </c>
      <c r="D86" s="5" t="s">
        <v>7</v>
      </c>
      <c r="E86" s="29">
        <v>23800</v>
      </c>
      <c r="F86" s="5">
        <f>Main[[#This Row],[Value]]*0.14</f>
        <v>3332.0000000000005</v>
      </c>
      <c r="G86" s="5" t="s">
        <v>42</v>
      </c>
      <c r="H86" s="31">
        <v>45172</v>
      </c>
      <c r="I86" s="72"/>
      <c r="J86"/>
      <c r="L86" s="21"/>
    </row>
    <row r="87" spans="3:12" ht="15" customHeight="1" x14ac:dyDescent="0.25">
      <c r="C87" s="11" t="s">
        <v>29</v>
      </c>
      <c r="D87" s="5" t="s">
        <v>7</v>
      </c>
      <c r="E87" s="29">
        <v>14700</v>
      </c>
      <c r="F87" s="5">
        <f>Main[[#This Row],[Value]]*0.14</f>
        <v>2058</v>
      </c>
      <c r="G87" s="5" t="s">
        <v>43</v>
      </c>
      <c r="H87" s="31">
        <v>45173</v>
      </c>
      <c r="I87" s="72"/>
      <c r="J87"/>
      <c r="L87" s="21"/>
    </row>
    <row r="88" spans="3:12" ht="15" customHeight="1" thickBot="1" x14ac:dyDescent="0.3">
      <c r="C88" s="14" t="s">
        <v>30</v>
      </c>
      <c r="D88" s="5" t="s">
        <v>7</v>
      </c>
      <c r="E88" s="29">
        <v>86200</v>
      </c>
      <c r="F88" s="5">
        <f>Main[[#This Row],[Value]]*0.14</f>
        <v>12068.000000000002</v>
      </c>
      <c r="G88" s="5" t="s">
        <v>44</v>
      </c>
      <c r="H88" s="31">
        <v>45174</v>
      </c>
      <c r="I88" s="72"/>
      <c r="L88" s="21"/>
    </row>
    <row r="89" spans="3:12" ht="15" customHeight="1" thickTop="1" thickBot="1" x14ac:dyDescent="0.3">
      <c r="C89" s="23"/>
      <c r="D89" s="5"/>
      <c r="E89" s="29">
        <f>SUBTOTAL(109,Main[Value])</f>
        <v>2801060</v>
      </c>
      <c r="F89" s="30"/>
      <c r="G89" s="5"/>
      <c r="H89" s="31"/>
      <c r="I89" s="31"/>
      <c r="L89" s="21"/>
    </row>
    <row r="90" spans="3:12" ht="33.75" customHeight="1" thickTop="1" thickBot="1" x14ac:dyDescent="0.3">
      <c r="C90" s="58" t="s">
        <v>4</v>
      </c>
      <c r="D90" s="59"/>
      <c r="E90" s="12">
        <f>SUMIFS(Main[Value],Main[Statement],"Bill",Main[Region],"Assiut")</f>
        <v>152300</v>
      </c>
      <c r="F90" s="64" t="s">
        <v>3</v>
      </c>
      <c r="G90" s="65"/>
      <c r="H90" s="12">
        <f>SUMIFS(Main[Value],Main[Statement],"Bill",Main[Region],"Assiut")-(SUMIFS(Main[Value],Main[Statement],"Discount",Main[Region],"Assiut")+SUMIFS(Main[Value],Main[Statement],"Return",Main[Region],"Assiut")+SUMIFS(Main[Tax],Main[Region],"Assiut"))</f>
        <v>99628</v>
      </c>
      <c r="I90" s="3"/>
    </row>
    <row r="91" spans="3:12" ht="33.75" customHeight="1" thickBot="1" x14ac:dyDescent="0.3">
      <c r="C91" s="60" t="s">
        <v>5</v>
      </c>
      <c r="D91" s="61"/>
      <c r="E91" s="12">
        <f>SUMIFS(Main[Value],Main[Statement],"Bill",Main[Region],"Alexandria")</f>
        <v>264500</v>
      </c>
      <c r="F91" s="66" t="s">
        <v>2</v>
      </c>
      <c r="G91" s="67"/>
      <c r="H91" s="12">
        <f>SUMIFS(Main[Value],Main[Statement],"Bill",Main[Region],"Alexandria")-(SUMIFS(Main[Value],Main[Statement],"Discount",Main[Region],"Alexandria")+SUMIFS(Main[Value],Main[Statement],"Return",Main[Region],"Alexandria")+SUMIFS(Main[Tax],Main[Region],"Alexandria"))</f>
        <v>227470</v>
      </c>
      <c r="I91" s="3"/>
    </row>
    <row r="92" spans="3:12" ht="33.75" customHeight="1" thickTop="1" thickBot="1" x14ac:dyDescent="0.3">
      <c r="C92" s="62" t="s">
        <v>6</v>
      </c>
      <c r="D92" s="63"/>
      <c r="E92" s="12">
        <f>SUMIFS(Main[Value],Main[Statement],"Bill",Main[Region],"Port Said")</f>
        <v>237800</v>
      </c>
      <c r="F92" s="68" t="s">
        <v>1</v>
      </c>
      <c r="G92" s="69"/>
      <c r="H92" s="12">
        <f>SUMIFS(Main[Value],Main[Statement],"Bill",Main[Region],"Port Said")-(SUMIFS(Main[Value],Main[Statement],"Discount",Main[Region],"Port Said")+SUMIFS(Main[Value],Main[Statement],"Return",Main[Region],"Port Said")+SUMIFS(Main[Tax],Main[Region],"Port Said"))</f>
        <v>167458</v>
      </c>
      <c r="I92" s="3"/>
    </row>
    <row r="93" spans="3:12" ht="15" customHeight="1" thickTop="1" thickBot="1" x14ac:dyDescent="0.3">
      <c r="C93" s="2"/>
      <c r="E93" s="2"/>
      <c r="F93" s="2"/>
      <c r="G93" s="2"/>
      <c r="H93" s="3"/>
      <c r="I93" s="13"/>
    </row>
    <row r="94" spans="3:12" ht="48" customHeight="1" thickTop="1" thickBot="1" x14ac:dyDescent="0.3">
      <c r="C94" s="15" t="s">
        <v>47</v>
      </c>
      <c r="D94" s="16">
        <f>SUMIFS(Main[Value],Main[Statement],"Discount")+SUM(Main[Tax])+SUMIFS(Main[Value],Main[Statement],"Return")</f>
        <v>1011248.4</v>
      </c>
      <c r="E94" s="2"/>
      <c r="F94" s="47" t="s">
        <v>0</v>
      </c>
      <c r="G94" s="48"/>
      <c r="H94" s="3"/>
      <c r="I94" s="3"/>
    </row>
    <row r="95" spans="3:12" ht="92.25" customHeight="1" thickTop="1" thickBot="1" x14ac:dyDescent="0.3">
      <c r="C95" s="17" t="s">
        <v>46</v>
      </c>
      <c r="D95" s="16">
        <f>SUMIFS(Main[Value],Main[Statement],"Bill")</f>
        <v>2181960</v>
      </c>
      <c r="E95" s="2"/>
      <c r="F95" s="49" t="s">
        <v>12</v>
      </c>
      <c r="G95" s="50"/>
      <c r="H95" s="3"/>
      <c r="I95" s="3"/>
    </row>
    <row r="96" spans="3:12" ht="15" customHeight="1" thickTop="1" thickBot="1" x14ac:dyDescent="0.3">
      <c r="C96" s="18" t="s">
        <v>48</v>
      </c>
      <c r="D96" s="18">
        <f>D95-D94</f>
        <v>1170711.6000000001</v>
      </c>
      <c r="E96" s="2"/>
      <c r="F96" s="2"/>
      <c r="G96" s="2"/>
      <c r="H96" s="13"/>
      <c r="I96" s="3"/>
    </row>
    <row r="97" spans="3:9" ht="15" customHeight="1" thickTop="1" x14ac:dyDescent="0.25">
      <c r="C97" s="2"/>
      <c r="D97" s="2"/>
      <c r="E97" s="2"/>
      <c r="F97" s="2"/>
      <c r="G97" s="2"/>
      <c r="H97" s="3"/>
      <c r="I97" s="3"/>
    </row>
    <row r="98" spans="3:9" ht="15" customHeight="1" x14ac:dyDescent="0.25">
      <c r="C98" s="2"/>
      <c r="D98" s="2"/>
      <c r="E98" s="2"/>
      <c r="F98" s="2"/>
      <c r="G98" s="2"/>
      <c r="H98" s="3"/>
      <c r="I98" s="3"/>
    </row>
    <row r="99" spans="3:9" ht="15" customHeight="1" x14ac:dyDescent="0.25">
      <c r="C99" s="2"/>
      <c r="D99" s="2"/>
      <c r="E99" s="2"/>
      <c r="F99" s="2"/>
      <c r="G99" s="2"/>
      <c r="H99" s="3"/>
      <c r="I99" s="3"/>
    </row>
    <row r="100" spans="3:9" ht="15" customHeight="1" x14ac:dyDescent="0.25">
      <c r="C100" s="2"/>
      <c r="D100" s="2"/>
      <c r="E100" s="2"/>
      <c r="F100" s="2"/>
      <c r="G100" s="2"/>
      <c r="H100" s="3"/>
      <c r="I100" s="3"/>
    </row>
    <row r="101" spans="3:9" ht="15" customHeight="1" x14ac:dyDescent="0.25">
      <c r="C101" s="2"/>
      <c r="D101" s="2"/>
      <c r="E101" s="2"/>
      <c r="F101" s="2"/>
      <c r="G101" s="2"/>
      <c r="H101" s="3"/>
      <c r="I101" s="3"/>
    </row>
    <row r="102" spans="3:9" ht="15" customHeight="1" x14ac:dyDescent="0.25">
      <c r="C102" s="2"/>
      <c r="D102" s="2"/>
      <c r="E102" s="2"/>
      <c r="F102" s="2"/>
      <c r="G102" s="2"/>
      <c r="H102" s="3"/>
      <c r="I102" s="3"/>
    </row>
    <row r="103" spans="3:9" ht="15" customHeight="1" x14ac:dyDescent="0.25">
      <c r="C103" s="2"/>
      <c r="D103" s="2"/>
      <c r="E103" s="2"/>
      <c r="F103" s="2"/>
      <c r="G103" s="2"/>
      <c r="H103" s="3"/>
      <c r="I103" s="3"/>
    </row>
    <row r="104" spans="3:9" ht="15" customHeight="1" x14ac:dyDescent="0.25">
      <c r="C104" s="2"/>
      <c r="D104" s="2"/>
      <c r="E104" s="2"/>
      <c r="F104" s="2"/>
      <c r="G104" s="2"/>
      <c r="H104" s="3"/>
      <c r="I104" s="3"/>
    </row>
    <row r="105" spans="3:9" ht="15" customHeight="1" x14ac:dyDescent="0.25">
      <c r="C105" s="2"/>
      <c r="D105" s="2"/>
      <c r="E105" s="2"/>
      <c r="F105" s="2"/>
      <c r="G105" s="2"/>
      <c r="H105" s="3"/>
      <c r="I105" s="3"/>
    </row>
    <row r="106" spans="3:9" ht="15" customHeight="1" x14ac:dyDescent="0.25">
      <c r="C106" s="2"/>
      <c r="D106" s="2"/>
      <c r="E106" s="2"/>
      <c r="F106" s="2"/>
      <c r="G106" s="2"/>
      <c r="H106" s="3"/>
      <c r="I106" s="3"/>
    </row>
    <row r="107" spans="3:9" ht="15" customHeight="1" x14ac:dyDescent="0.25">
      <c r="C107" s="2"/>
      <c r="D107" s="2"/>
      <c r="E107" s="2"/>
      <c r="F107" s="2"/>
      <c r="G107" s="2"/>
      <c r="H107" s="3"/>
      <c r="I107" s="3"/>
    </row>
    <row r="108" spans="3:9" ht="15" customHeight="1" x14ac:dyDescent="0.25">
      <c r="C108" s="2"/>
      <c r="D108" s="2"/>
      <c r="E108" s="2"/>
      <c r="F108" s="2"/>
      <c r="G108" s="2"/>
      <c r="H108" s="3"/>
      <c r="I108" s="3"/>
    </row>
    <row r="109" spans="3:9" ht="15" customHeight="1" x14ac:dyDescent="0.25">
      <c r="C109" s="2"/>
      <c r="D109" s="2"/>
      <c r="E109" s="2"/>
      <c r="F109" s="2"/>
      <c r="G109" s="2"/>
      <c r="H109" s="3"/>
      <c r="I109" s="3"/>
    </row>
    <row r="110" spans="3:9" ht="15" customHeight="1" x14ac:dyDescent="0.25">
      <c r="C110" s="2"/>
      <c r="D110" s="2"/>
      <c r="E110" s="2"/>
      <c r="F110" s="2"/>
      <c r="G110" s="2"/>
      <c r="H110" s="3"/>
      <c r="I110" s="3"/>
    </row>
    <row r="111" spans="3:9" ht="15" customHeight="1" x14ac:dyDescent="0.25">
      <c r="C111" s="2"/>
      <c r="D111" s="2"/>
      <c r="E111" s="2"/>
      <c r="F111" s="2"/>
      <c r="G111" s="2"/>
      <c r="H111" s="3"/>
      <c r="I111" s="3"/>
    </row>
    <row r="112" spans="3:9" ht="15" customHeight="1" x14ac:dyDescent="0.25">
      <c r="C112" s="2"/>
      <c r="D112" s="2"/>
      <c r="E112" s="2"/>
      <c r="F112" s="2"/>
      <c r="G112" s="2"/>
      <c r="H112" s="3"/>
      <c r="I112" s="3"/>
    </row>
    <row r="113" spans="3:9" ht="15" customHeight="1" x14ac:dyDescent="0.25">
      <c r="C113" s="2"/>
      <c r="D113" s="2"/>
      <c r="E113" s="2"/>
      <c r="F113" s="2"/>
      <c r="G113" s="2"/>
      <c r="H113" s="3"/>
      <c r="I113" s="3"/>
    </row>
    <row r="114" spans="3:9" ht="15" customHeight="1" x14ac:dyDescent="0.25">
      <c r="C114" s="2"/>
      <c r="D114" s="2"/>
      <c r="E114" s="2"/>
      <c r="F114" s="2"/>
      <c r="G114" s="2"/>
      <c r="H114" s="3"/>
      <c r="I114" s="3"/>
    </row>
    <row r="115" spans="3:9" ht="15" customHeight="1" x14ac:dyDescent="0.25">
      <c r="C115" s="2"/>
      <c r="D115" s="2"/>
      <c r="E115" s="2"/>
      <c r="F115" s="2"/>
      <c r="G115" s="2"/>
      <c r="H115" s="3"/>
      <c r="I115" s="3"/>
    </row>
    <row r="116" spans="3:9" ht="15" customHeight="1" x14ac:dyDescent="0.25">
      <c r="C116" s="2"/>
      <c r="D116" s="2"/>
      <c r="E116" s="2"/>
      <c r="F116" s="2"/>
      <c r="G116" s="2"/>
      <c r="H116" s="3"/>
      <c r="I116" s="3"/>
    </row>
    <row r="117" spans="3:9" ht="15" customHeight="1" x14ac:dyDescent="0.25">
      <c r="C117" s="2"/>
      <c r="D117" s="2"/>
      <c r="E117" s="2"/>
      <c r="F117" s="2"/>
      <c r="G117" s="2"/>
      <c r="H117" s="3"/>
      <c r="I117" s="3"/>
    </row>
    <row r="118" spans="3:9" ht="15" customHeight="1" x14ac:dyDescent="0.25">
      <c r="C118" s="2"/>
      <c r="D118" s="2"/>
      <c r="E118" s="2"/>
      <c r="F118" s="2"/>
      <c r="G118" s="2"/>
      <c r="H118" s="3"/>
      <c r="I118" s="3"/>
    </row>
    <row r="119" spans="3:9" ht="15" customHeight="1" x14ac:dyDescent="0.25">
      <c r="C119" s="2"/>
      <c r="D119" s="2"/>
      <c r="E119" s="2"/>
      <c r="F119" s="2"/>
      <c r="G119" s="2"/>
      <c r="H119" s="3"/>
      <c r="I119" s="3"/>
    </row>
    <row r="120" spans="3:9" ht="15" customHeight="1" x14ac:dyDescent="0.25">
      <c r="C120" s="2"/>
      <c r="D120" s="2"/>
      <c r="E120" s="2"/>
      <c r="F120" s="2"/>
      <c r="G120" s="2"/>
      <c r="H120" s="3"/>
      <c r="I120" s="3"/>
    </row>
    <row r="121" spans="3:9" ht="15" customHeight="1" x14ac:dyDescent="0.25">
      <c r="C121" s="2"/>
      <c r="D121" s="2"/>
      <c r="E121" s="2"/>
      <c r="F121" s="2"/>
      <c r="G121" s="2"/>
      <c r="H121" s="3"/>
      <c r="I121" s="3"/>
    </row>
    <row r="122" spans="3:9" ht="15" customHeight="1" x14ac:dyDescent="0.25">
      <c r="C122" s="2"/>
      <c r="D122" s="2"/>
      <c r="E122" s="2"/>
      <c r="F122" s="2"/>
      <c r="G122" s="2"/>
      <c r="H122" s="3"/>
      <c r="I122" s="3"/>
    </row>
    <row r="123" spans="3:9" ht="15" customHeight="1" x14ac:dyDescent="0.25">
      <c r="C123" s="2"/>
      <c r="D123" s="2"/>
      <c r="E123" s="2"/>
      <c r="F123" s="2"/>
      <c r="G123" s="2"/>
      <c r="H123" s="3"/>
      <c r="I123" s="3"/>
    </row>
    <row r="124" spans="3:9" ht="15" customHeight="1" x14ac:dyDescent="0.25">
      <c r="C124" s="2"/>
      <c r="D124" s="2"/>
      <c r="E124" s="2"/>
      <c r="F124" s="2"/>
      <c r="G124" s="2"/>
      <c r="H124" s="3"/>
      <c r="I124" s="3"/>
    </row>
    <row r="125" spans="3:9" ht="15" customHeight="1" x14ac:dyDescent="0.25">
      <c r="C125" s="2"/>
      <c r="D125" s="2"/>
      <c r="E125" s="2"/>
      <c r="F125" s="2"/>
      <c r="G125" s="2"/>
      <c r="H125" s="3"/>
      <c r="I125" s="3"/>
    </row>
    <row r="126" spans="3:9" ht="15" customHeight="1" x14ac:dyDescent="0.25">
      <c r="C126" s="2"/>
      <c r="D126" s="2"/>
      <c r="E126" s="2"/>
      <c r="F126" s="2"/>
      <c r="G126" s="2"/>
      <c r="H126" s="3"/>
      <c r="I126" s="3"/>
    </row>
    <row r="127" spans="3:9" ht="15" customHeight="1" x14ac:dyDescent="0.25">
      <c r="C127" s="2"/>
      <c r="D127" s="2"/>
      <c r="E127" s="2"/>
      <c r="F127" s="2"/>
      <c r="G127" s="2"/>
      <c r="H127" s="3"/>
      <c r="I127" s="3"/>
    </row>
    <row r="128" spans="3:9" ht="15" customHeight="1" x14ac:dyDescent="0.25">
      <c r="C128" s="2"/>
      <c r="D128" s="2"/>
      <c r="E128" s="2"/>
      <c r="F128" s="2"/>
      <c r="G128" s="2"/>
      <c r="H128" s="3"/>
      <c r="I128" s="3"/>
    </row>
    <row r="129" spans="3:9" ht="15" customHeight="1" x14ac:dyDescent="0.25">
      <c r="C129" s="2"/>
      <c r="D129" s="2"/>
      <c r="E129" s="2"/>
      <c r="F129" s="2"/>
      <c r="G129" s="2"/>
      <c r="H129" s="3"/>
      <c r="I129" s="3"/>
    </row>
    <row r="130" spans="3:9" ht="15" customHeight="1" x14ac:dyDescent="0.25">
      <c r="C130" s="2"/>
      <c r="D130" s="2"/>
      <c r="E130" s="2"/>
      <c r="F130" s="2"/>
      <c r="G130" s="2"/>
      <c r="H130" s="3"/>
      <c r="I130" s="3"/>
    </row>
    <row r="131" spans="3:9" ht="15" customHeight="1" x14ac:dyDescent="0.25">
      <c r="C131" s="2"/>
      <c r="D131" s="2"/>
      <c r="E131" s="2"/>
      <c r="F131" s="2"/>
      <c r="G131" s="2"/>
      <c r="H131" s="3"/>
      <c r="I131" s="3"/>
    </row>
    <row r="132" spans="3:9" ht="15" customHeight="1" x14ac:dyDescent="0.25">
      <c r="C132" s="2"/>
      <c r="D132" s="2"/>
      <c r="E132" s="2"/>
      <c r="F132" s="2"/>
      <c r="G132" s="2"/>
      <c r="H132" s="3"/>
      <c r="I132" s="3"/>
    </row>
    <row r="133" spans="3:9" ht="15" customHeight="1" x14ac:dyDescent="0.25">
      <c r="C133" s="2"/>
      <c r="D133" s="2"/>
      <c r="E133" s="2"/>
      <c r="F133" s="2"/>
      <c r="G133" s="2"/>
      <c r="H133" s="3"/>
      <c r="I133" s="3"/>
    </row>
    <row r="134" spans="3:9" ht="15" customHeight="1" x14ac:dyDescent="0.25">
      <c r="C134" s="2"/>
      <c r="D134" s="2"/>
      <c r="E134" s="2"/>
      <c r="F134" s="2"/>
      <c r="G134" s="2"/>
      <c r="H134" s="3"/>
      <c r="I134" s="3"/>
    </row>
    <row r="135" spans="3:9" ht="15" customHeight="1" x14ac:dyDescent="0.25">
      <c r="C135" s="2"/>
      <c r="D135" s="2"/>
      <c r="E135" s="2"/>
      <c r="F135" s="2"/>
      <c r="G135" s="2"/>
      <c r="H135" s="3"/>
      <c r="I135" s="3"/>
    </row>
    <row r="136" spans="3:9" ht="15" customHeight="1" x14ac:dyDescent="0.25">
      <c r="C136" s="2"/>
      <c r="D136" s="2"/>
      <c r="E136" s="2"/>
      <c r="F136" s="2"/>
      <c r="G136" s="2"/>
      <c r="H136" s="3"/>
      <c r="I136" s="3"/>
    </row>
    <row r="137" spans="3:9" ht="15" customHeight="1" x14ac:dyDescent="0.25">
      <c r="C137" s="2"/>
      <c r="D137" s="2"/>
      <c r="E137" s="2"/>
      <c r="F137" s="2"/>
      <c r="G137" s="2"/>
      <c r="H137" s="3"/>
      <c r="I137" s="3"/>
    </row>
    <row r="138" spans="3:9" ht="15" customHeight="1" x14ac:dyDescent="0.25">
      <c r="C138" s="2"/>
      <c r="D138" s="2"/>
      <c r="E138" s="2"/>
      <c r="F138" s="2"/>
      <c r="G138" s="2"/>
      <c r="H138" s="3"/>
      <c r="I138" s="3"/>
    </row>
    <row r="139" spans="3:9" ht="15" customHeight="1" x14ac:dyDescent="0.25">
      <c r="C139" s="2"/>
      <c r="D139" s="2"/>
      <c r="E139" s="2"/>
      <c r="F139" s="2"/>
      <c r="G139" s="2"/>
      <c r="H139" s="3"/>
      <c r="I139" s="3"/>
    </row>
    <row r="140" spans="3:9" ht="15" customHeight="1" x14ac:dyDescent="0.25">
      <c r="C140" s="2"/>
      <c r="D140" s="2"/>
      <c r="E140" s="2"/>
      <c r="F140" s="2"/>
      <c r="G140" s="2"/>
      <c r="H140" s="3"/>
      <c r="I140" s="3"/>
    </row>
    <row r="141" spans="3:9" ht="15" customHeight="1" x14ac:dyDescent="0.25">
      <c r="C141" s="2"/>
      <c r="D141" s="2"/>
      <c r="E141" s="2"/>
      <c r="F141" s="2"/>
      <c r="G141" s="2"/>
      <c r="H141" s="3"/>
      <c r="I141" s="3"/>
    </row>
    <row r="142" spans="3:9" ht="15" customHeight="1" x14ac:dyDescent="0.25">
      <c r="C142" s="2"/>
      <c r="D142" s="2"/>
      <c r="E142" s="2"/>
      <c r="F142" s="2"/>
      <c r="G142" s="2"/>
      <c r="H142" s="3"/>
      <c r="I142" s="3"/>
    </row>
    <row r="143" spans="3:9" ht="15" customHeight="1" x14ac:dyDescent="0.25">
      <c r="C143" s="2"/>
      <c r="D143" s="2"/>
      <c r="E143" s="2"/>
      <c r="F143" s="2"/>
      <c r="G143" s="2"/>
      <c r="H143" s="3"/>
      <c r="I143" s="3"/>
    </row>
    <row r="144" spans="3:9" ht="15" customHeight="1" x14ac:dyDescent="0.25">
      <c r="C144" s="2"/>
      <c r="D144" s="2"/>
      <c r="E144" s="2"/>
      <c r="F144" s="2"/>
      <c r="G144" s="2"/>
      <c r="H144" s="3"/>
      <c r="I144" s="3"/>
    </row>
    <row r="145" spans="3:9" ht="15" customHeight="1" x14ac:dyDescent="0.25">
      <c r="C145" s="2"/>
      <c r="D145" s="2"/>
      <c r="E145" s="2"/>
      <c r="F145" s="2"/>
      <c r="G145" s="2"/>
      <c r="H145" s="3"/>
      <c r="I145" s="3"/>
    </row>
    <row r="146" spans="3:9" ht="15" customHeight="1" x14ac:dyDescent="0.25">
      <c r="C146" s="2"/>
      <c r="D146" s="2"/>
      <c r="E146" s="2"/>
      <c r="F146" s="2"/>
      <c r="G146" s="2"/>
      <c r="H146" s="3"/>
      <c r="I146" s="3"/>
    </row>
    <row r="147" spans="3:9" ht="15" customHeight="1" x14ac:dyDescent="0.25">
      <c r="C147" s="2"/>
      <c r="D147" s="2"/>
      <c r="E147" s="2"/>
      <c r="F147" s="2"/>
      <c r="G147" s="2"/>
      <c r="H147" s="3"/>
      <c r="I147" s="3"/>
    </row>
    <row r="148" spans="3:9" ht="15" customHeight="1" x14ac:dyDescent="0.25">
      <c r="C148" s="2"/>
      <c r="D148" s="2"/>
      <c r="E148" s="2"/>
      <c r="F148" s="2"/>
      <c r="G148" s="2"/>
      <c r="H148" s="3"/>
      <c r="I148" s="3"/>
    </row>
    <row r="149" spans="3:9" ht="15" customHeight="1" x14ac:dyDescent="0.25">
      <c r="C149" s="2"/>
      <c r="D149" s="2"/>
      <c r="E149" s="2"/>
      <c r="F149" s="2"/>
      <c r="G149" s="2"/>
      <c r="H149" s="3"/>
      <c r="I149" s="3"/>
    </row>
    <row r="150" spans="3:9" ht="15" customHeight="1" x14ac:dyDescent="0.25">
      <c r="C150" s="2"/>
      <c r="D150" s="2"/>
      <c r="E150" s="2"/>
      <c r="F150" s="2"/>
      <c r="G150" s="2"/>
      <c r="H150" s="3"/>
      <c r="I150" s="3"/>
    </row>
    <row r="151" spans="3:9" ht="15" customHeight="1" x14ac:dyDescent="0.25">
      <c r="C151" s="2"/>
      <c r="D151" s="2"/>
      <c r="E151" s="2"/>
      <c r="F151" s="2"/>
      <c r="G151" s="2"/>
      <c r="H151" s="3"/>
      <c r="I151" s="3"/>
    </row>
    <row r="152" spans="3:9" ht="15" customHeight="1" x14ac:dyDescent="0.25">
      <c r="C152" s="2"/>
      <c r="D152" s="2"/>
      <c r="E152" s="2"/>
      <c r="F152" s="2"/>
      <c r="G152" s="2"/>
      <c r="H152" s="3"/>
      <c r="I152" s="3"/>
    </row>
    <row r="153" spans="3:9" ht="15" customHeight="1" x14ac:dyDescent="0.25">
      <c r="C153" s="2"/>
      <c r="D153" s="2"/>
      <c r="E153" s="2"/>
      <c r="F153" s="2"/>
      <c r="G153" s="2"/>
      <c r="H153" s="3"/>
      <c r="I153" s="3"/>
    </row>
    <row r="154" spans="3:9" ht="15" customHeight="1" x14ac:dyDescent="0.25">
      <c r="C154" s="2"/>
      <c r="D154" s="2"/>
      <c r="E154" s="2"/>
      <c r="F154" s="2"/>
      <c r="G154" s="2"/>
      <c r="H154" s="3"/>
      <c r="I154" s="3"/>
    </row>
    <row r="155" spans="3:9" ht="15" customHeight="1" x14ac:dyDescent="0.25">
      <c r="C155" s="2"/>
      <c r="D155" s="2"/>
      <c r="E155" s="2"/>
      <c r="F155" s="2"/>
      <c r="G155" s="2"/>
      <c r="H155" s="3"/>
      <c r="I155" s="3"/>
    </row>
    <row r="156" spans="3:9" ht="15" customHeight="1" x14ac:dyDescent="0.25">
      <c r="C156" s="2"/>
      <c r="D156" s="2"/>
      <c r="E156" s="2"/>
      <c r="F156" s="2"/>
      <c r="G156" s="2"/>
      <c r="H156" s="3"/>
      <c r="I156" s="3"/>
    </row>
    <row r="157" spans="3:9" ht="15" customHeight="1" x14ac:dyDescent="0.25">
      <c r="C157" s="2"/>
      <c r="D157" s="2"/>
      <c r="E157" s="2"/>
      <c r="F157" s="2"/>
      <c r="G157" s="2"/>
      <c r="H157" s="3"/>
      <c r="I157" s="3"/>
    </row>
    <row r="158" spans="3:9" ht="15" customHeight="1" x14ac:dyDescent="0.25">
      <c r="C158" s="2"/>
      <c r="D158" s="2"/>
      <c r="E158" s="2"/>
      <c r="F158" s="2"/>
      <c r="G158" s="2"/>
      <c r="H158" s="3"/>
      <c r="I158" s="3"/>
    </row>
    <row r="159" spans="3:9" ht="15" customHeight="1" x14ac:dyDescent="0.25">
      <c r="C159" s="2"/>
      <c r="D159" s="2"/>
      <c r="E159" s="2"/>
      <c r="F159" s="2"/>
      <c r="G159" s="2"/>
      <c r="H159" s="3"/>
      <c r="I159" s="3"/>
    </row>
    <row r="160" spans="3:9" ht="15" customHeight="1" x14ac:dyDescent="0.25">
      <c r="C160" s="2"/>
      <c r="D160" s="2"/>
      <c r="E160" s="2"/>
      <c r="F160" s="2"/>
      <c r="G160" s="2"/>
      <c r="H160" s="3"/>
      <c r="I160" s="3"/>
    </row>
    <row r="161" spans="3:9" ht="15" customHeight="1" x14ac:dyDescent="0.25">
      <c r="C161" s="2"/>
      <c r="D161" s="2"/>
      <c r="E161" s="2"/>
      <c r="F161" s="2"/>
      <c r="G161" s="2"/>
      <c r="H161" s="3"/>
      <c r="I161" s="3"/>
    </row>
    <row r="162" spans="3:9" ht="15" customHeight="1" x14ac:dyDescent="0.25">
      <c r="C162" s="2"/>
      <c r="D162" s="2"/>
      <c r="E162" s="2"/>
      <c r="F162" s="2"/>
      <c r="G162" s="2"/>
      <c r="H162" s="3"/>
      <c r="I162" s="3"/>
    </row>
    <row r="163" spans="3:9" ht="15" customHeight="1" x14ac:dyDescent="0.25">
      <c r="C163" s="2"/>
      <c r="D163" s="2"/>
      <c r="E163" s="2"/>
      <c r="F163" s="2"/>
      <c r="G163" s="2"/>
      <c r="H163" s="3"/>
      <c r="I163" s="3"/>
    </row>
    <row r="164" spans="3:9" ht="15" customHeight="1" x14ac:dyDescent="0.25">
      <c r="C164" s="2"/>
      <c r="D164" s="2"/>
      <c r="E164" s="2"/>
      <c r="F164" s="2"/>
      <c r="G164" s="2"/>
      <c r="H164" s="3"/>
      <c r="I164" s="3"/>
    </row>
    <row r="165" spans="3:9" ht="15" customHeight="1" x14ac:dyDescent="0.25">
      <c r="C165" s="2"/>
      <c r="D165" s="2"/>
      <c r="E165" s="2"/>
      <c r="F165" s="2"/>
      <c r="G165" s="2"/>
      <c r="H165" s="3"/>
      <c r="I165" s="3"/>
    </row>
    <row r="166" spans="3:9" ht="15" customHeight="1" x14ac:dyDescent="0.25">
      <c r="C166" s="2"/>
      <c r="D166" s="2"/>
      <c r="E166" s="2"/>
      <c r="F166" s="2"/>
      <c r="G166" s="2"/>
      <c r="H166" s="3"/>
      <c r="I166" s="3"/>
    </row>
    <row r="167" spans="3:9" ht="15" customHeight="1" x14ac:dyDescent="0.25">
      <c r="C167" s="2"/>
      <c r="D167" s="2"/>
      <c r="E167" s="2"/>
      <c r="F167" s="2"/>
      <c r="G167" s="2"/>
      <c r="H167" s="3"/>
      <c r="I167" s="3"/>
    </row>
    <row r="168" spans="3:9" ht="15" customHeight="1" x14ac:dyDescent="0.25">
      <c r="C168" s="2"/>
      <c r="D168" s="2"/>
      <c r="E168" s="2"/>
      <c r="F168" s="2"/>
      <c r="G168" s="2"/>
      <c r="H168" s="3"/>
      <c r="I168" s="3"/>
    </row>
    <row r="169" spans="3:9" ht="15" customHeight="1" x14ac:dyDescent="0.25">
      <c r="C169" s="2"/>
      <c r="D169" s="2"/>
      <c r="E169" s="2"/>
      <c r="F169" s="2"/>
      <c r="G169" s="2"/>
      <c r="H169" s="3"/>
      <c r="I169" s="3"/>
    </row>
    <row r="170" spans="3:9" ht="15" customHeight="1" x14ac:dyDescent="0.25">
      <c r="C170" s="2"/>
      <c r="D170" s="2"/>
      <c r="E170" s="2"/>
      <c r="F170" s="2"/>
      <c r="G170" s="2"/>
      <c r="H170" s="3"/>
      <c r="I170" s="3"/>
    </row>
    <row r="171" spans="3:9" ht="15" customHeight="1" x14ac:dyDescent="0.25">
      <c r="C171" s="2"/>
      <c r="D171" s="2"/>
      <c r="E171" s="2"/>
      <c r="F171" s="2"/>
      <c r="G171" s="2"/>
      <c r="H171" s="3"/>
      <c r="I171" s="3"/>
    </row>
    <row r="172" spans="3:9" ht="15" customHeight="1" x14ac:dyDescent="0.25">
      <c r="C172" s="2"/>
      <c r="D172" s="2"/>
      <c r="E172" s="2"/>
      <c r="F172" s="2"/>
      <c r="G172" s="2"/>
      <c r="H172" s="3"/>
      <c r="I172" s="3"/>
    </row>
    <row r="173" spans="3:9" ht="15" customHeight="1" x14ac:dyDescent="0.25">
      <c r="C173" s="2"/>
      <c r="D173" s="2"/>
      <c r="E173" s="2"/>
      <c r="F173" s="2"/>
      <c r="G173" s="2"/>
      <c r="H173" s="3"/>
      <c r="I173" s="3"/>
    </row>
    <row r="174" spans="3:9" ht="15" customHeight="1" x14ac:dyDescent="0.25">
      <c r="C174" s="2"/>
      <c r="D174" s="2"/>
      <c r="E174" s="2"/>
      <c r="F174" s="2"/>
      <c r="G174" s="2"/>
      <c r="H174" s="3"/>
      <c r="I174" s="3"/>
    </row>
    <row r="175" spans="3:9" ht="15" customHeight="1" x14ac:dyDescent="0.25">
      <c r="C175" s="2"/>
      <c r="D175" s="2"/>
      <c r="E175" s="2"/>
      <c r="F175" s="2"/>
      <c r="G175" s="2"/>
      <c r="H175" s="3"/>
      <c r="I175" s="3"/>
    </row>
    <row r="176" spans="3:9" ht="15" customHeight="1" x14ac:dyDescent="0.25">
      <c r="C176" s="2"/>
      <c r="D176" s="2"/>
      <c r="E176" s="2"/>
      <c r="F176" s="2"/>
      <c r="G176" s="2"/>
      <c r="H176" s="3"/>
      <c r="I176" s="3"/>
    </row>
    <row r="177" spans="3:9" ht="15" customHeight="1" x14ac:dyDescent="0.25">
      <c r="C177" s="2"/>
      <c r="D177" s="2"/>
      <c r="E177" s="2"/>
      <c r="F177" s="2"/>
      <c r="G177" s="2"/>
      <c r="H177" s="3"/>
      <c r="I177" s="3"/>
    </row>
    <row r="178" spans="3:9" ht="15" customHeight="1" x14ac:dyDescent="0.25">
      <c r="C178" s="2"/>
      <c r="D178" s="2"/>
      <c r="E178" s="2"/>
      <c r="F178" s="2"/>
      <c r="G178" s="2"/>
      <c r="H178" s="3"/>
      <c r="I178" s="3"/>
    </row>
    <row r="179" spans="3:9" ht="15" customHeight="1" x14ac:dyDescent="0.25">
      <c r="C179" s="2"/>
      <c r="D179" s="2"/>
      <c r="E179" s="2"/>
      <c r="F179" s="2"/>
      <c r="G179" s="2"/>
      <c r="H179" s="3"/>
      <c r="I179" s="3"/>
    </row>
    <row r="180" spans="3:9" ht="15" customHeight="1" x14ac:dyDescent="0.25">
      <c r="C180" s="2"/>
      <c r="D180" s="2"/>
      <c r="E180" s="2"/>
      <c r="F180" s="2"/>
      <c r="G180" s="2"/>
      <c r="H180" s="3"/>
      <c r="I180" s="3"/>
    </row>
    <row r="181" spans="3:9" ht="15" customHeight="1" x14ac:dyDescent="0.25">
      <c r="C181" s="2"/>
      <c r="D181" s="2"/>
      <c r="E181" s="2"/>
      <c r="F181" s="2"/>
      <c r="G181" s="2"/>
      <c r="H181" s="3"/>
      <c r="I181" s="3"/>
    </row>
    <row r="182" spans="3:9" ht="15" customHeight="1" x14ac:dyDescent="0.25">
      <c r="C182" s="2"/>
      <c r="D182" s="2"/>
      <c r="E182" s="2"/>
      <c r="F182" s="2"/>
      <c r="G182" s="2"/>
      <c r="H182" s="3"/>
      <c r="I182" s="3"/>
    </row>
    <row r="183" spans="3:9" ht="15" customHeight="1" x14ac:dyDescent="0.25">
      <c r="C183" s="2"/>
      <c r="D183" s="2"/>
      <c r="E183" s="2"/>
      <c r="F183" s="2"/>
      <c r="G183" s="2"/>
      <c r="H183" s="3"/>
      <c r="I183" s="3"/>
    </row>
    <row r="184" spans="3:9" ht="15" customHeight="1" x14ac:dyDescent="0.25">
      <c r="C184" s="2"/>
      <c r="D184" s="2"/>
      <c r="E184" s="2"/>
      <c r="F184" s="2"/>
      <c r="G184" s="2"/>
      <c r="H184" s="3"/>
      <c r="I184" s="3"/>
    </row>
    <row r="185" spans="3:9" ht="15" customHeight="1" x14ac:dyDescent="0.25">
      <c r="C185" s="2"/>
      <c r="D185" s="2"/>
      <c r="E185" s="2"/>
      <c r="F185" s="2"/>
      <c r="G185" s="2"/>
      <c r="H185" s="3"/>
      <c r="I185" s="3"/>
    </row>
    <row r="186" spans="3:9" ht="15" customHeight="1" x14ac:dyDescent="0.25">
      <c r="C186" s="2"/>
      <c r="D186" s="2"/>
      <c r="E186" s="2"/>
      <c r="F186" s="2"/>
      <c r="G186" s="2"/>
      <c r="H186" s="3"/>
      <c r="I186" s="3"/>
    </row>
    <row r="187" spans="3:9" ht="15" customHeight="1" x14ac:dyDescent="0.25">
      <c r="C187" s="2"/>
      <c r="D187" s="2"/>
      <c r="E187" s="2"/>
      <c r="F187" s="2"/>
      <c r="G187" s="2"/>
      <c r="H187" s="3"/>
      <c r="I187" s="3"/>
    </row>
    <row r="188" spans="3:9" ht="15" customHeight="1" x14ac:dyDescent="0.25">
      <c r="C188" s="2"/>
      <c r="D188" s="2"/>
      <c r="E188" s="2"/>
      <c r="F188" s="2"/>
      <c r="G188" s="2"/>
      <c r="H188" s="3"/>
      <c r="I188" s="3"/>
    </row>
    <row r="189" spans="3:9" ht="15" customHeight="1" x14ac:dyDescent="0.25">
      <c r="C189" s="2"/>
      <c r="D189" s="2"/>
      <c r="E189" s="2"/>
      <c r="F189" s="2"/>
      <c r="G189" s="2"/>
      <c r="H189" s="3"/>
      <c r="I189" s="3"/>
    </row>
    <row r="190" spans="3:9" ht="15" customHeight="1" x14ac:dyDescent="0.25">
      <c r="C190" s="2"/>
      <c r="D190" s="2"/>
      <c r="E190" s="2"/>
      <c r="F190" s="2"/>
      <c r="G190" s="2"/>
      <c r="H190" s="3"/>
      <c r="I190" s="3"/>
    </row>
    <row r="191" spans="3:9" ht="15" customHeight="1" x14ac:dyDescent="0.25">
      <c r="C191" s="2"/>
      <c r="D191" s="2"/>
      <c r="E191" s="2"/>
      <c r="F191" s="2"/>
      <c r="G191" s="2"/>
      <c r="H191" s="3"/>
      <c r="I191" s="3"/>
    </row>
    <row r="192" spans="3:9" ht="15" customHeight="1" x14ac:dyDescent="0.25">
      <c r="C192" s="2"/>
      <c r="D192" s="2"/>
      <c r="E192" s="2"/>
      <c r="F192" s="2"/>
      <c r="G192" s="2"/>
      <c r="H192" s="3"/>
      <c r="I192" s="3"/>
    </row>
    <row r="193" spans="3:9" ht="15" customHeight="1" x14ac:dyDescent="0.25">
      <c r="C193" s="2"/>
      <c r="D193" s="2"/>
      <c r="E193" s="2"/>
      <c r="F193" s="2"/>
      <c r="G193" s="2"/>
      <c r="H193" s="3"/>
      <c r="I193" s="3"/>
    </row>
    <row r="194" spans="3:9" ht="15" customHeight="1" x14ac:dyDescent="0.25">
      <c r="C194" s="2"/>
      <c r="D194" s="2"/>
      <c r="E194" s="2"/>
      <c r="F194" s="2"/>
      <c r="G194" s="2"/>
      <c r="H194" s="3"/>
      <c r="I194" s="3"/>
    </row>
    <row r="195" spans="3:9" ht="15" customHeight="1" x14ac:dyDescent="0.25">
      <c r="C195" s="2"/>
      <c r="D195" s="2"/>
      <c r="E195" s="2"/>
      <c r="F195" s="2"/>
      <c r="G195" s="2"/>
      <c r="H195" s="3"/>
      <c r="I195" s="3"/>
    </row>
    <row r="196" spans="3:9" ht="15" customHeight="1" x14ac:dyDescent="0.25">
      <c r="C196" s="2"/>
      <c r="D196" s="2"/>
      <c r="E196" s="2"/>
      <c r="F196" s="2"/>
      <c r="G196" s="2"/>
      <c r="H196" s="3"/>
      <c r="I196" s="3"/>
    </row>
    <row r="197" spans="3:9" ht="15" customHeight="1" x14ac:dyDescent="0.25">
      <c r="C197" s="2"/>
      <c r="D197" s="2"/>
      <c r="E197" s="2"/>
      <c r="F197" s="2"/>
      <c r="G197" s="2"/>
      <c r="H197" s="3"/>
      <c r="I197" s="3"/>
    </row>
    <row r="198" spans="3:9" ht="15" customHeight="1" x14ac:dyDescent="0.25">
      <c r="C198" s="2"/>
      <c r="D198" s="2"/>
      <c r="E198" s="2"/>
      <c r="F198" s="2"/>
      <c r="G198" s="2"/>
      <c r="H198" s="3"/>
      <c r="I198" s="3"/>
    </row>
    <row r="199" spans="3:9" ht="15" customHeight="1" x14ac:dyDescent="0.25">
      <c r="C199" s="2"/>
      <c r="D199" s="2"/>
      <c r="E199" s="2"/>
      <c r="F199" s="2"/>
      <c r="G199" s="2"/>
      <c r="H199" s="3"/>
      <c r="I199" s="3"/>
    </row>
    <row r="200" spans="3:9" ht="15" customHeight="1" x14ac:dyDescent="0.25">
      <c r="C200" s="2"/>
      <c r="D200" s="2"/>
      <c r="E200" s="2"/>
      <c r="F200" s="2"/>
      <c r="G200" s="2"/>
      <c r="H200" s="3"/>
      <c r="I200" s="3"/>
    </row>
    <row r="201" spans="3:9" ht="15" customHeight="1" x14ac:dyDescent="0.25">
      <c r="C201" s="2"/>
      <c r="D201" s="2"/>
      <c r="E201" s="2"/>
      <c r="F201" s="2"/>
      <c r="G201" s="2"/>
      <c r="H201" s="3"/>
      <c r="I201" s="3"/>
    </row>
    <row r="202" spans="3:9" ht="15" customHeight="1" x14ac:dyDescent="0.25">
      <c r="C202" s="2"/>
      <c r="D202" s="2"/>
      <c r="E202" s="2"/>
      <c r="F202" s="2"/>
      <c r="G202" s="2"/>
      <c r="H202" s="3"/>
      <c r="I202" s="3"/>
    </row>
    <row r="203" spans="3:9" ht="15" customHeight="1" x14ac:dyDescent="0.25">
      <c r="C203" s="2"/>
      <c r="D203" s="2"/>
      <c r="E203" s="2"/>
      <c r="F203" s="2"/>
      <c r="G203" s="2"/>
      <c r="H203" s="3"/>
      <c r="I203" s="3"/>
    </row>
    <row r="204" spans="3:9" ht="15" customHeight="1" x14ac:dyDescent="0.25">
      <c r="C204" s="2"/>
      <c r="D204" s="2"/>
      <c r="E204" s="2"/>
      <c r="F204" s="2"/>
      <c r="G204" s="2"/>
      <c r="H204" s="3"/>
      <c r="I204" s="3"/>
    </row>
    <row r="205" spans="3:9" ht="15" customHeight="1" x14ac:dyDescent="0.25">
      <c r="C205" s="2"/>
      <c r="D205" s="2"/>
      <c r="E205" s="2"/>
      <c r="F205" s="2"/>
      <c r="G205" s="2"/>
      <c r="H205" s="3"/>
      <c r="I205" s="3"/>
    </row>
    <row r="206" spans="3:9" ht="15" customHeight="1" x14ac:dyDescent="0.25">
      <c r="C206" s="2"/>
      <c r="D206" s="2"/>
      <c r="E206" s="2"/>
      <c r="F206" s="2"/>
      <c r="G206" s="2"/>
      <c r="H206" s="3"/>
      <c r="I206" s="3"/>
    </row>
    <row r="207" spans="3:9" ht="15" customHeight="1" x14ac:dyDescent="0.25">
      <c r="C207" s="2"/>
      <c r="D207" s="2"/>
      <c r="E207" s="2"/>
      <c r="F207" s="2"/>
      <c r="G207" s="2"/>
      <c r="H207" s="3"/>
      <c r="I207" s="3"/>
    </row>
    <row r="208" spans="3:9" ht="15" customHeight="1" x14ac:dyDescent="0.25">
      <c r="C208" s="2"/>
      <c r="D208" s="2"/>
      <c r="E208" s="2"/>
      <c r="F208" s="2"/>
      <c r="G208" s="2"/>
      <c r="H208" s="3"/>
      <c r="I208" s="3"/>
    </row>
    <row r="209" spans="3:9" ht="15" customHeight="1" x14ac:dyDescent="0.25">
      <c r="C209" s="2"/>
      <c r="D209" s="2"/>
      <c r="E209" s="2"/>
      <c r="F209" s="2"/>
      <c r="G209" s="2"/>
      <c r="H209" s="3"/>
      <c r="I209" s="3"/>
    </row>
    <row r="210" spans="3:9" ht="15" customHeight="1" x14ac:dyDescent="0.25">
      <c r="C210" s="2"/>
      <c r="D210" s="2"/>
      <c r="E210" s="2"/>
      <c r="F210" s="2"/>
      <c r="G210" s="2"/>
      <c r="H210" s="3"/>
      <c r="I210" s="3"/>
    </row>
    <row r="211" spans="3:9" ht="15" customHeight="1" x14ac:dyDescent="0.25">
      <c r="C211" s="2"/>
      <c r="D211" s="2"/>
      <c r="E211" s="2"/>
      <c r="F211" s="2"/>
      <c r="G211" s="2"/>
      <c r="H211" s="3"/>
      <c r="I211" s="3"/>
    </row>
    <row r="212" spans="3:9" ht="15" customHeight="1" x14ac:dyDescent="0.25">
      <c r="C212" s="2"/>
      <c r="D212" s="2"/>
      <c r="E212" s="2"/>
      <c r="F212" s="2"/>
      <c r="G212" s="2"/>
      <c r="H212" s="3"/>
      <c r="I212" s="3"/>
    </row>
    <row r="213" spans="3:9" ht="15" customHeight="1" x14ac:dyDescent="0.25">
      <c r="C213" s="2"/>
      <c r="D213" s="2"/>
      <c r="E213" s="2"/>
      <c r="F213" s="2"/>
      <c r="G213" s="2"/>
      <c r="H213" s="3"/>
      <c r="I213" s="3"/>
    </row>
    <row r="214" spans="3:9" ht="15" customHeight="1" x14ac:dyDescent="0.25">
      <c r="C214" s="2"/>
      <c r="D214" s="2"/>
      <c r="E214" s="2"/>
      <c r="F214" s="2"/>
      <c r="G214" s="2"/>
      <c r="H214" s="3"/>
      <c r="I214" s="3"/>
    </row>
    <row r="215" spans="3:9" ht="15" customHeight="1" x14ac:dyDescent="0.25">
      <c r="C215" s="2"/>
      <c r="D215" s="2"/>
      <c r="E215" s="2"/>
      <c r="F215" s="2"/>
      <c r="G215" s="2"/>
      <c r="H215" s="3"/>
      <c r="I215" s="3"/>
    </row>
    <row r="216" spans="3:9" ht="15" customHeight="1" x14ac:dyDescent="0.25">
      <c r="C216" s="2"/>
      <c r="D216" s="2"/>
      <c r="E216" s="2"/>
      <c r="F216" s="2"/>
      <c r="G216" s="2"/>
      <c r="H216" s="3"/>
      <c r="I216" s="3"/>
    </row>
    <row r="217" spans="3:9" ht="15" customHeight="1" x14ac:dyDescent="0.25">
      <c r="C217" s="2"/>
      <c r="D217" s="2"/>
      <c r="E217" s="2"/>
      <c r="F217" s="2"/>
      <c r="G217" s="2"/>
      <c r="H217" s="3"/>
      <c r="I217" s="3"/>
    </row>
    <row r="218" spans="3:9" ht="15" customHeight="1" x14ac:dyDescent="0.25">
      <c r="C218" s="2"/>
      <c r="D218" s="2"/>
      <c r="E218" s="2"/>
      <c r="F218" s="2"/>
      <c r="G218" s="2"/>
      <c r="H218" s="3"/>
    </row>
    <row r="219" spans="3:9" ht="15" customHeight="1" x14ac:dyDescent="0.25">
      <c r="C219" s="2"/>
      <c r="D219" s="2"/>
      <c r="E219" s="2"/>
      <c r="F219" s="2"/>
      <c r="H219" s="3"/>
    </row>
    <row r="220" spans="3:9" ht="15" customHeight="1" x14ac:dyDescent="0.25">
      <c r="C220" s="2"/>
      <c r="D220" s="2"/>
      <c r="E220" s="2"/>
      <c r="F220" s="2"/>
      <c r="H220" s="3"/>
    </row>
  </sheetData>
  <mergeCells count="10">
    <mergeCell ref="K1:O2"/>
    <mergeCell ref="C1:I2"/>
    <mergeCell ref="F94:G94"/>
    <mergeCell ref="F95:G95"/>
    <mergeCell ref="C90:D90"/>
    <mergeCell ref="C91:D91"/>
    <mergeCell ref="C92:D92"/>
    <mergeCell ref="F90:G90"/>
    <mergeCell ref="F91:G91"/>
    <mergeCell ref="F92:G92"/>
  </mergeCells>
  <conditionalFormatting sqref="L5:L18">
    <cfRule type="top10" dxfId="1" priority="2" percent="1" rank="25"/>
  </conditionalFormatting>
  <conditionalFormatting sqref="N5:O18">
    <cfRule type="cellIs" dxfId="0" priority="3" operator="equal">
      <formula>"Class A"</formula>
    </cfRule>
  </conditionalFormatting>
  <conditionalFormatting sqref="O5:O1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{0C8098FD-D250-47FB-8173-F9E3E42A710F}</x14:id>
        </ext>
      </extLst>
    </cfRule>
  </conditionalFormatting>
  <pageMargins left="0.7" right="0.7" top="0.75" bottom="0.75" header="0.3" footer="0.3"/>
  <pageSetup orientation="portrait" r:id="rId1"/>
  <ignoredErrors>
    <ignoredError sqref="L5:L19" calculatedColumn="1"/>
  </ignoredErrors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8098FD-D250-47FB-8173-F9E3E42A71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O5:O18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487E-07A1-44F9-9588-5B16CDDA5634}">
  <sheetPr>
    <tabColor theme="3" tint="0.749992370372631"/>
  </sheetPr>
  <dimension ref="B3:K299"/>
  <sheetViews>
    <sheetView topLeftCell="A249" workbookViewId="0">
      <selection activeCell="M3" sqref="M3"/>
    </sheetView>
  </sheetViews>
  <sheetFormatPr defaultRowHeight="15.75" x14ac:dyDescent="0.25"/>
  <cols>
    <col min="2" max="2" width="23.42578125" style="35" bestFit="1" customWidth="1"/>
    <col min="3" max="3" width="20.5703125" style="40" bestFit="1" customWidth="1"/>
    <col min="4" max="4" width="14.85546875" style="40" bestFit="1" customWidth="1"/>
    <col min="5" max="8" width="6.140625" bestFit="1" customWidth="1"/>
    <col min="9" max="9" width="23.42578125" style="42" bestFit="1" customWidth="1"/>
    <col min="10" max="10" width="9" style="44" bestFit="1" customWidth="1"/>
    <col min="11" max="11" width="10.140625" style="44" bestFit="1" customWidth="1"/>
    <col min="12" max="93" width="10.42578125" bestFit="1" customWidth="1"/>
    <col min="94" max="94" width="10.7109375" bestFit="1" customWidth="1"/>
    <col min="95" max="177" width="10.42578125" bestFit="1" customWidth="1"/>
    <col min="178" max="178" width="17.85546875" bestFit="1" customWidth="1"/>
    <col min="179" max="179" width="15.7109375" bestFit="1" customWidth="1"/>
  </cols>
  <sheetData>
    <row r="3" spans="2:11" s="39" customFormat="1" ht="30.75" customHeight="1" x14ac:dyDescent="0.3">
      <c r="B3" s="38" t="s">
        <v>45</v>
      </c>
      <c r="C3" s="25" t="s">
        <v>55</v>
      </c>
      <c r="D3" s="25" t="s">
        <v>59</v>
      </c>
      <c r="I3" s="46" t="s">
        <v>45</v>
      </c>
      <c r="J3" s="41" t="s">
        <v>65</v>
      </c>
      <c r="K3" s="41" t="s">
        <v>64</v>
      </c>
    </row>
    <row r="4" spans="2:11" x14ac:dyDescent="0.25">
      <c r="B4" s="36" t="s">
        <v>17</v>
      </c>
      <c r="C4" s="37">
        <v>138976</v>
      </c>
      <c r="D4" s="34">
        <v>0.11871070552303402</v>
      </c>
      <c r="I4" s="42" t="s">
        <v>17</v>
      </c>
      <c r="J4" s="43">
        <v>161600</v>
      </c>
      <c r="K4" s="43">
        <v>22624</v>
      </c>
    </row>
    <row r="5" spans="2:11" x14ac:dyDescent="0.25">
      <c r="B5" s="36" t="s">
        <v>31</v>
      </c>
      <c r="C5" s="37">
        <v>138976</v>
      </c>
      <c r="D5" s="34">
        <v>0.11871070552303402</v>
      </c>
      <c r="I5" s="42" t="s">
        <v>7</v>
      </c>
      <c r="J5" s="43">
        <v>161600</v>
      </c>
      <c r="K5" s="43">
        <v>22624</v>
      </c>
    </row>
    <row r="6" spans="2:11" x14ac:dyDescent="0.25">
      <c r="B6" s="36" t="s">
        <v>56</v>
      </c>
      <c r="C6" s="37">
        <v>138976</v>
      </c>
      <c r="D6" s="34">
        <v>0.11871070552303402</v>
      </c>
      <c r="I6" s="45">
        <v>45091</v>
      </c>
      <c r="J6" s="43">
        <v>5000</v>
      </c>
      <c r="K6" s="43">
        <v>700.00000000000011</v>
      </c>
    </row>
    <row r="7" spans="2:11" x14ac:dyDescent="0.25">
      <c r="B7" s="36" t="s">
        <v>26</v>
      </c>
      <c r="C7" s="37">
        <v>2844</v>
      </c>
      <c r="D7" s="34">
        <v>2.4292917230853439E-3</v>
      </c>
      <c r="I7" s="42" t="s">
        <v>60</v>
      </c>
      <c r="J7" s="43">
        <v>5000</v>
      </c>
      <c r="K7" s="43">
        <v>700.00000000000011</v>
      </c>
    </row>
    <row r="8" spans="2:11" x14ac:dyDescent="0.25">
      <c r="B8" s="36" t="s">
        <v>40</v>
      </c>
      <c r="C8" s="37">
        <v>2844</v>
      </c>
      <c r="D8" s="34">
        <v>2.4292917230853439E-3</v>
      </c>
      <c r="I8" s="44" t="s">
        <v>66</v>
      </c>
      <c r="J8" s="43">
        <v>5000</v>
      </c>
      <c r="K8" s="43">
        <v>700.00000000000011</v>
      </c>
    </row>
    <row r="9" spans="2:11" x14ac:dyDescent="0.25">
      <c r="B9" s="36" t="s">
        <v>57</v>
      </c>
      <c r="C9" s="37">
        <v>2844</v>
      </c>
      <c r="D9" s="34">
        <v>2.4292917230853439E-3</v>
      </c>
      <c r="I9" s="45">
        <v>45105</v>
      </c>
      <c r="J9" s="43">
        <v>3300</v>
      </c>
      <c r="K9" s="43">
        <v>462.00000000000006</v>
      </c>
    </row>
    <row r="10" spans="2:11" x14ac:dyDescent="0.25">
      <c r="B10" s="36" t="s">
        <v>24</v>
      </c>
      <c r="C10" s="37">
        <v>26256</v>
      </c>
      <c r="D10" s="34">
        <v>2.2427385190340644E-2</v>
      </c>
      <c r="I10" s="42" t="s">
        <v>60</v>
      </c>
      <c r="J10" s="43">
        <v>3300</v>
      </c>
      <c r="K10" s="43">
        <v>462.00000000000006</v>
      </c>
    </row>
    <row r="11" spans="2:11" x14ac:dyDescent="0.25">
      <c r="B11" s="36" t="s">
        <v>38</v>
      </c>
      <c r="C11" s="37">
        <v>26256</v>
      </c>
      <c r="D11" s="34">
        <v>2.2427385190340644E-2</v>
      </c>
      <c r="I11" s="44" t="s">
        <v>67</v>
      </c>
      <c r="J11" s="43">
        <v>3300</v>
      </c>
      <c r="K11" s="43">
        <v>462.00000000000006</v>
      </c>
    </row>
    <row r="12" spans="2:11" x14ac:dyDescent="0.25">
      <c r="B12" s="36" t="s">
        <v>57</v>
      </c>
      <c r="C12" s="37">
        <v>26256</v>
      </c>
      <c r="D12" s="34">
        <v>2.2427385190340644E-2</v>
      </c>
      <c r="I12" s="45">
        <v>45119</v>
      </c>
      <c r="J12" s="43">
        <v>5800</v>
      </c>
      <c r="K12" s="43">
        <v>812.00000000000011</v>
      </c>
    </row>
    <row r="13" spans="2:11" x14ac:dyDescent="0.25">
      <c r="B13" s="36" t="s">
        <v>20</v>
      </c>
      <c r="C13" s="37">
        <v>2746</v>
      </c>
      <c r="D13" s="34">
        <v>2.3455819520366928E-3</v>
      </c>
      <c r="I13" s="42" t="s">
        <v>61</v>
      </c>
      <c r="J13" s="43">
        <v>5800</v>
      </c>
      <c r="K13" s="43">
        <v>812.00000000000011</v>
      </c>
    </row>
    <row r="14" spans="2:11" x14ac:dyDescent="0.25">
      <c r="B14" s="36" t="s">
        <v>34</v>
      </c>
      <c r="C14" s="37">
        <v>2746</v>
      </c>
      <c r="D14" s="34">
        <v>2.3455819520366928E-3</v>
      </c>
      <c r="I14" s="44" t="s">
        <v>83</v>
      </c>
      <c r="J14" s="43">
        <v>5800</v>
      </c>
      <c r="K14" s="43">
        <v>812.00000000000011</v>
      </c>
    </row>
    <row r="15" spans="2:11" x14ac:dyDescent="0.25">
      <c r="B15" s="36" t="s">
        <v>57</v>
      </c>
      <c r="C15" s="37">
        <v>2746</v>
      </c>
      <c r="D15" s="34">
        <v>2.3455819520366928E-3</v>
      </c>
      <c r="I15" s="45">
        <v>45133</v>
      </c>
      <c r="J15" s="43">
        <v>72000</v>
      </c>
      <c r="K15" s="43">
        <v>10080.000000000002</v>
      </c>
    </row>
    <row r="16" spans="2:11" x14ac:dyDescent="0.25">
      <c r="B16" s="36" t="s">
        <v>18</v>
      </c>
      <c r="C16" s="37">
        <v>76896</v>
      </c>
      <c r="D16" s="34">
        <v>6.5683128107725239E-2</v>
      </c>
      <c r="I16" s="42" t="s">
        <v>61</v>
      </c>
      <c r="J16" s="43">
        <v>72000</v>
      </c>
      <c r="K16" s="43">
        <v>10080.000000000002</v>
      </c>
    </row>
    <row r="17" spans="2:11" x14ac:dyDescent="0.25">
      <c r="B17" s="36" t="s">
        <v>32</v>
      </c>
      <c r="C17" s="37">
        <v>76896</v>
      </c>
      <c r="D17" s="34">
        <v>6.5683128107725239E-2</v>
      </c>
      <c r="I17" s="44" t="s">
        <v>84</v>
      </c>
      <c r="J17" s="43">
        <v>72000</v>
      </c>
      <c r="K17" s="43">
        <v>10080.000000000002</v>
      </c>
    </row>
    <row r="18" spans="2:11" x14ac:dyDescent="0.25">
      <c r="B18" s="36" t="s">
        <v>58</v>
      </c>
      <c r="C18" s="37">
        <v>76896</v>
      </c>
      <c r="D18" s="34">
        <v>6.5683128107725239E-2</v>
      </c>
      <c r="I18" s="45">
        <v>45147</v>
      </c>
      <c r="J18" s="43">
        <v>63000</v>
      </c>
      <c r="K18" s="43">
        <v>8820</v>
      </c>
    </row>
    <row r="19" spans="2:11" x14ac:dyDescent="0.25">
      <c r="B19" s="36" t="s">
        <v>25</v>
      </c>
      <c r="C19" s="37">
        <v>14570</v>
      </c>
      <c r="D19" s="34">
        <v>1.2445422083457615E-2</v>
      </c>
      <c r="I19" s="42" t="s">
        <v>62</v>
      </c>
      <c r="J19" s="43">
        <v>63000</v>
      </c>
      <c r="K19" s="43">
        <v>8820</v>
      </c>
    </row>
    <row r="20" spans="2:11" x14ac:dyDescent="0.25">
      <c r="B20" s="36" t="s">
        <v>39</v>
      </c>
      <c r="C20" s="37">
        <v>14570</v>
      </c>
      <c r="D20" s="34">
        <v>1.2445422083457615E-2</v>
      </c>
      <c r="I20" s="44" t="s">
        <v>114</v>
      </c>
      <c r="J20" s="43">
        <v>63000</v>
      </c>
      <c r="K20" s="43">
        <v>8820</v>
      </c>
    </row>
    <row r="21" spans="2:11" x14ac:dyDescent="0.25">
      <c r="B21" s="36" t="s">
        <v>57</v>
      </c>
      <c r="C21" s="37">
        <v>14570</v>
      </c>
      <c r="D21" s="34">
        <v>1.2445422083457615E-2</v>
      </c>
      <c r="I21" s="45">
        <v>45161</v>
      </c>
      <c r="J21" s="43">
        <v>12500</v>
      </c>
      <c r="K21" s="43">
        <v>1750.0000000000002</v>
      </c>
    </row>
    <row r="22" spans="2:11" x14ac:dyDescent="0.25">
      <c r="B22" s="36" t="s">
        <v>29</v>
      </c>
      <c r="C22" s="37">
        <v>182578</v>
      </c>
      <c r="D22" s="34">
        <v>0.1559547201889859</v>
      </c>
      <c r="I22" s="42" t="s">
        <v>62</v>
      </c>
      <c r="J22" s="43">
        <v>12500</v>
      </c>
      <c r="K22" s="43">
        <v>1750.0000000000002</v>
      </c>
    </row>
    <row r="23" spans="2:11" x14ac:dyDescent="0.25">
      <c r="B23" s="36" t="s">
        <v>43</v>
      </c>
      <c r="C23" s="37">
        <v>182578</v>
      </c>
      <c r="D23" s="34">
        <v>0.1559547201889859</v>
      </c>
      <c r="I23" s="44" t="s">
        <v>115</v>
      </c>
      <c r="J23" s="43">
        <v>12500</v>
      </c>
      <c r="K23" s="43">
        <v>1750.0000000000002</v>
      </c>
    </row>
    <row r="24" spans="2:11" x14ac:dyDescent="0.25">
      <c r="B24" s="36" t="s">
        <v>56</v>
      </c>
      <c r="C24" s="37">
        <v>182578</v>
      </c>
      <c r="D24" s="34">
        <v>0.1559547201889859</v>
      </c>
      <c r="I24" s="42" t="s">
        <v>26</v>
      </c>
      <c r="J24" s="43">
        <v>255400</v>
      </c>
      <c r="K24" s="43">
        <v>35756.000000000007</v>
      </c>
    </row>
    <row r="25" spans="2:11" x14ac:dyDescent="0.25">
      <c r="B25" s="36" t="s">
        <v>22</v>
      </c>
      <c r="C25" s="37">
        <v>36987.599999999999</v>
      </c>
      <c r="D25" s="34">
        <v>3.1594117628970277E-2</v>
      </c>
      <c r="I25" s="42" t="s">
        <v>7</v>
      </c>
      <c r="J25" s="43">
        <v>147000</v>
      </c>
      <c r="K25" s="43">
        <v>20580.000000000004</v>
      </c>
    </row>
    <row r="26" spans="2:11" x14ac:dyDescent="0.25">
      <c r="B26" s="36" t="s">
        <v>36</v>
      </c>
      <c r="C26" s="37">
        <v>36987.599999999999</v>
      </c>
      <c r="D26" s="34">
        <v>3.1594117628970277E-2</v>
      </c>
      <c r="I26" s="45">
        <v>45100</v>
      </c>
      <c r="J26" s="43">
        <v>41000</v>
      </c>
      <c r="K26" s="43">
        <v>5740.0000000000009</v>
      </c>
    </row>
    <row r="27" spans="2:11" x14ac:dyDescent="0.25">
      <c r="B27" s="36" t="s">
        <v>58</v>
      </c>
      <c r="C27" s="37">
        <v>36987.599999999999</v>
      </c>
      <c r="D27" s="34">
        <v>3.1594117628970277E-2</v>
      </c>
      <c r="I27" s="42" t="s">
        <v>60</v>
      </c>
      <c r="J27" s="43">
        <v>41000</v>
      </c>
      <c r="K27" s="43">
        <v>5740.0000000000009</v>
      </c>
    </row>
    <row r="28" spans="2:11" x14ac:dyDescent="0.25">
      <c r="B28" s="36" t="s">
        <v>21</v>
      </c>
      <c r="C28" s="37">
        <v>48340</v>
      </c>
      <c r="D28" s="34">
        <v>4.1291125841752999E-2</v>
      </c>
      <c r="I28" s="44" t="s">
        <v>68</v>
      </c>
      <c r="J28" s="43">
        <v>41000</v>
      </c>
      <c r="K28" s="43">
        <v>5740.0000000000009</v>
      </c>
    </row>
    <row r="29" spans="2:11" x14ac:dyDescent="0.25">
      <c r="B29" s="36" t="s">
        <v>35</v>
      </c>
      <c r="C29" s="37">
        <v>48340</v>
      </c>
      <c r="D29" s="34">
        <v>4.1291125841752999E-2</v>
      </c>
      <c r="I29" s="45">
        <v>45114</v>
      </c>
      <c r="J29" s="43">
        <v>81000</v>
      </c>
      <c r="K29" s="43">
        <v>11340.000000000002</v>
      </c>
    </row>
    <row r="30" spans="2:11" x14ac:dyDescent="0.25">
      <c r="B30" s="36" t="s">
        <v>58</v>
      </c>
      <c r="C30" s="37">
        <v>48340</v>
      </c>
      <c r="D30" s="34">
        <v>4.1291125841752999E-2</v>
      </c>
      <c r="I30" s="42" t="s">
        <v>61</v>
      </c>
      <c r="J30" s="43">
        <v>81000</v>
      </c>
      <c r="K30" s="43">
        <v>11340.000000000002</v>
      </c>
    </row>
    <row r="31" spans="2:11" x14ac:dyDescent="0.25">
      <c r="B31" s="36" t="s">
        <v>27</v>
      </c>
      <c r="C31" s="37">
        <v>103216</v>
      </c>
      <c r="D31" s="34">
        <v>8.8165180903648679E-2</v>
      </c>
      <c r="I31" s="44" t="s">
        <v>85</v>
      </c>
      <c r="J31" s="43">
        <v>81000</v>
      </c>
      <c r="K31" s="43">
        <v>11340.000000000002</v>
      </c>
    </row>
    <row r="32" spans="2:11" x14ac:dyDescent="0.25">
      <c r="B32" s="36" t="s">
        <v>41</v>
      </c>
      <c r="C32" s="37">
        <v>103216</v>
      </c>
      <c r="D32" s="34">
        <v>8.8165180903648679E-2</v>
      </c>
      <c r="I32" s="45">
        <v>45128</v>
      </c>
      <c r="J32" s="43">
        <v>10000</v>
      </c>
      <c r="K32" s="43">
        <v>1400.0000000000002</v>
      </c>
    </row>
    <row r="33" spans="2:11" x14ac:dyDescent="0.25">
      <c r="B33" s="36" t="s">
        <v>56</v>
      </c>
      <c r="C33" s="37">
        <v>103216</v>
      </c>
      <c r="D33" s="34">
        <v>8.8165180903648679E-2</v>
      </c>
      <c r="I33" s="42" t="s">
        <v>61</v>
      </c>
      <c r="J33" s="43">
        <v>10000</v>
      </c>
      <c r="K33" s="43">
        <v>1400.0000000000002</v>
      </c>
    </row>
    <row r="34" spans="2:11" x14ac:dyDescent="0.25">
      <c r="B34" s="36" t="s">
        <v>19</v>
      </c>
      <c r="C34" s="37">
        <v>227470</v>
      </c>
      <c r="D34" s="34">
        <v>0.19430062877996596</v>
      </c>
      <c r="I34" s="44" t="s">
        <v>86</v>
      </c>
      <c r="J34" s="43">
        <v>10000</v>
      </c>
      <c r="K34" s="43">
        <v>1400.0000000000002</v>
      </c>
    </row>
    <row r="35" spans="2:11" x14ac:dyDescent="0.25">
      <c r="B35" s="36" t="s">
        <v>33</v>
      </c>
      <c r="C35" s="37">
        <v>227470</v>
      </c>
      <c r="D35" s="34">
        <v>0.19430062877996596</v>
      </c>
      <c r="I35" s="45">
        <v>45142</v>
      </c>
      <c r="J35" s="43">
        <v>15000</v>
      </c>
      <c r="K35" s="43">
        <v>2100</v>
      </c>
    </row>
    <row r="36" spans="2:11" x14ac:dyDescent="0.25">
      <c r="B36" s="36" t="s">
        <v>56</v>
      </c>
      <c r="C36" s="37">
        <v>227470</v>
      </c>
      <c r="D36" s="34">
        <v>0.19430062877996596</v>
      </c>
      <c r="I36" s="42" t="s">
        <v>62</v>
      </c>
      <c r="J36" s="43">
        <v>15000</v>
      </c>
      <c r="K36" s="43">
        <v>2100</v>
      </c>
    </row>
    <row r="37" spans="2:11" x14ac:dyDescent="0.25">
      <c r="B37" s="36" t="s">
        <v>30</v>
      </c>
      <c r="C37" s="37">
        <v>167458</v>
      </c>
      <c r="D37" s="34">
        <v>0.14303949837005117</v>
      </c>
      <c r="I37" s="44" t="s">
        <v>116</v>
      </c>
      <c r="J37" s="43">
        <v>15000</v>
      </c>
      <c r="K37" s="43">
        <v>2100</v>
      </c>
    </row>
    <row r="38" spans="2:11" x14ac:dyDescent="0.25">
      <c r="B38" s="36" t="s">
        <v>44</v>
      </c>
      <c r="C38" s="37">
        <v>167458</v>
      </c>
      <c r="D38" s="34">
        <v>0.14303949837005117</v>
      </c>
      <c r="I38" s="42" t="s">
        <v>8</v>
      </c>
      <c r="J38" s="43">
        <v>56400</v>
      </c>
      <c r="K38" s="43">
        <v>7896.0000000000009</v>
      </c>
    </row>
    <row r="39" spans="2:11" x14ac:dyDescent="0.25">
      <c r="B39" s="36" t="s">
        <v>56</v>
      </c>
      <c r="C39" s="37">
        <v>167458</v>
      </c>
      <c r="D39" s="34">
        <v>0.14303949837005117</v>
      </c>
      <c r="I39" s="45">
        <v>45170</v>
      </c>
      <c r="J39" s="43">
        <v>56400</v>
      </c>
      <c r="K39" s="43">
        <v>7896.0000000000009</v>
      </c>
    </row>
    <row r="40" spans="2:11" x14ac:dyDescent="0.25">
      <c r="B40" s="36" t="s">
        <v>23</v>
      </c>
      <c r="C40" s="37">
        <v>42746</v>
      </c>
      <c r="D40" s="34">
        <v>3.6512835441282032E-2</v>
      </c>
      <c r="I40" s="42" t="s">
        <v>63</v>
      </c>
      <c r="J40" s="43">
        <v>56400</v>
      </c>
      <c r="K40" s="43">
        <v>7896.0000000000009</v>
      </c>
    </row>
    <row r="41" spans="2:11" x14ac:dyDescent="0.25">
      <c r="B41" s="36" t="s">
        <v>37</v>
      </c>
      <c r="C41" s="37">
        <v>42746</v>
      </c>
      <c r="D41" s="34">
        <v>3.6512835441282032E-2</v>
      </c>
      <c r="I41" s="44" t="s">
        <v>117</v>
      </c>
      <c r="J41" s="43">
        <v>56400</v>
      </c>
      <c r="K41" s="43">
        <v>7896.0000000000009</v>
      </c>
    </row>
    <row r="42" spans="2:11" x14ac:dyDescent="0.25">
      <c r="B42" s="36" t="s">
        <v>58</v>
      </c>
      <c r="C42" s="37">
        <v>42746</v>
      </c>
      <c r="D42" s="34">
        <v>3.6512835441282032E-2</v>
      </c>
      <c r="I42" s="42" t="s">
        <v>9</v>
      </c>
      <c r="J42" s="43">
        <v>52000</v>
      </c>
      <c r="K42" s="43">
        <v>7280.0000000000009</v>
      </c>
    </row>
    <row r="43" spans="2:11" x14ac:dyDescent="0.25">
      <c r="B43" s="36" t="s">
        <v>28</v>
      </c>
      <c r="C43" s="37">
        <v>99628</v>
      </c>
      <c r="D43" s="34">
        <v>8.5100378265663371E-2</v>
      </c>
      <c r="I43" s="45">
        <v>45156</v>
      </c>
      <c r="J43" s="43">
        <v>52000</v>
      </c>
      <c r="K43" s="43">
        <v>7280.0000000000009</v>
      </c>
    </row>
    <row r="44" spans="2:11" x14ac:dyDescent="0.25">
      <c r="B44" s="36" t="s">
        <v>42</v>
      </c>
      <c r="C44" s="37">
        <v>99628</v>
      </c>
      <c r="D44" s="34">
        <v>8.5100378265663371E-2</v>
      </c>
      <c r="I44" s="42" t="s">
        <v>62</v>
      </c>
      <c r="J44" s="43">
        <v>52000</v>
      </c>
      <c r="K44" s="43">
        <v>7280.0000000000009</v>
      </c>
    </row>
    <row r="45" spans="2:11" x14ac:dyDescent="0.25">
      <c r="B45" s="36" t="s">
        <v>58</v>
      </c>
      <c r="C45" s="37">
        <v>99628</v>
      </c>
      <c r="D45" s="34">
        <v>8.5100378265663371E-2</v>
      </c>
      <c r="I45" s="44" t="s">
        <v>118</v>
      </c>
      <c r="J45" s="43">
        <v>52000</v>
      </c>
      <c r="K45" s="43">
        <v>7280.0000000000009</v>
      </c>
    </row>
    <row r="46" spans="2:11" x14ac:dyDescent="0.25">
      <c r="B46" s="36" t="s">
        <v>54</v>
      </c>
      <c r="C46" s="37">
        <v>1170711.6000000001</v>
      </c>
      <c r="D46" s="34">
        <v>1</v>
      </c>
      <c r="I46" s="42" t="s">
        <v>24</v>
      </c>
      <c r="J46" s="43">
        <v>209600</v>
      </c>
      <c r="K46" s="43">
        <v>29344.000000000004</v>
      </c>
    </row>
    <row r="47" spans="2:11" x14ac:dyDescent="0.25">
      <c r="I47" s="42" t="s">
        <v>7</v>
      </c>
      <c r="J47" s="43">
        <v>132600</v>
      </c>
      <c r="K47" s="43">
        <v>18564.000000000004</v>
      </c>
    </row>
    <row r="48" spans="2:11" x14ac:dyDescent="0.25">
      <c r="I48" s="45">
        <v>45098</v>
      </c>
      <c r="J48" s="43">
        <v>98000</v>
      </c>
      <c r="K48" s="43">
        <v>13720.000000000002</v>
      </c>
    </row>
    <row r="49" spans="9:11" x14ac:dyDescent="0.25">
      <c r="I49" s="42" t="s">
        <v>60</v>
      </c>
      <c r="J49" s="43">
        <v>98000</v>
      </c>
      <c r="K49" s="43">
        <v>13720.000000000002</v>
      </c>
    </row>
    <row r="50" spans="9:11" x14ac:dyDescent="0.25">
      <c r="I50" s="44" t="s">
        <v>69</v>
      </c>
      <c r="J50" s="43">
        <v>98000</v>
      </c>
      <c r="K50" s="43">
        <v>13720.000000000002</v>
      </c>
    </row>
    <row r="51" spans="9:11" x14ac:dyDescent="0.25">
      <c r="I51" s="45">
        <v>45112</v>
      </c>
      <c r="J51" s="43">
        <v>8000</v>
      </c>
      <c r="K51" s="43">
        <v>1120</v>
      </c>
    </row>
    <row r="52" spans="9:11" x14ac:dyDescent="0.25">
      <c r="I52" s="42" t="s">
        <v>61</v>
      </c>
      <c r="J52" s="43">
        <v>8000</v>
      </c>
      <c r="K52" s="43">
        <v>1120</v>
      </c>
    </row>
    <row r="53" spans="9:11" x14ac:dyDescent="0.25">
      <c r="I53" s="44" t="s">
        <v>87</v>
      </c>
      <c r="J53" s="43">
        <v>8000</v>
      </c>
      <c r="K53" s="43">
        <v>1120</v>
      </c>
    </row>
    <row r="54" spans="9:11" x14ac:dyDescent="0.25">
      <c r="I54" s="45">
        <v>45126</v>
      </c>
      <c r="J54" s="43">
        <v>4600</v>
      </c>
      <c r="K54" s="43">
        <v>644.00000000000011</v>
      </c>
    </row>
    <row r="55" spans="9:11" x14ac:dyDescent="0.25">
      <c r="I55" s="42" t="s">
        <v>61</v>
      </c>
      <c r="J55" s="43">
        <v>4600</v>
      </c>
      <c r="K55" s="43">
        <v>644.00000000000011</v>
      </c>
    </row>
    <row r="56" spans="9:11" x14ac:dyDescent="0.25">
      <c r="I56" s="44" t="s">
        <v>88</v>
      </c>
      <c r="J56" s="43">
        <v>4600</v>
      </c>
      <c r="K56" s="43">
        <v>644.00000000000011</v>
      </c>
    </row>
    <row r="57" spans="9:11" x14ac:dyDescent="0.25">
      <c r="I57" s="45">
        <v>45140</v>
      </c>
      <c r="J57" s="43">
        <v>22000</v>
      </c>
      <c r="K57" s="43">
        <v>3080.0000000000005</v>
      </c>
    </row>
    <row r="58" spans="9:11" x14ac:dyDescent="0.25">
      <c r="I58" s="42" t="s">
        <v>62</v>
      </c>
      <c r="J58" s="43">
        <v>22000</v>
      </c>
      <c r="K58" s="43">
        <v>3080.0000000000005</v>
      </c>
    </row>
    <row r="59" spans="9:11" x14ac:dyDescent="0.25">
      <c r="I59" s="44" t="s">
        <v>119</v>
      </c>
      <c r="J59" s="43">
        <v>22000</v>
      </c>
      <c r="K59" s="43">
        <v>3080.0000000000005</v>
      </c>
    </row>
    <row r="60" spans="9:11" x14ac:dyDescent="0.25">
      <c r="I60" s="42" t="s">
        <v>9</v>
      </c>
      <c r="J60" s="43">
        <v>77000</v>
      </c>
      <c r="K60" s="43">
        <v>10780.000000000002</v>
      </c>
    </row>
    <row r="61" spans="9:11" x14ac:dyDescent="0.25">
      <c r="I61" s="45">
        <v>45154</v>
      </c>
      <c r="J61" s="43">
        <v>21800</v>
      </c>
      <c r="K61" s="43">
        <v>3052.0000000000005</v>
      </c>
    </row>
    <row r="62" spans="9:11" x14ac:dyDescent="0.25">
      <c r="I62" s="42" t="s">
        <v>62</v>
      </c>
      <c r="J62" s="43">
        <v>21800</v>
      </c>
      <c r="K62" s="43">
        <v>3052.0000000000005</v>
      </c>
    </row>
    <row r="63" spans="9:11" x14ac:dyDescent="0.25">
      <c r="I63" s="44" t="s">
        <v>120</v>
      </c>
      <c r="J63" s="43">
        <v>21800</v>
      </c>
      <c r="K63" s="43">
        <v>3052.0000000000005</v>
      </c>
    </row>
    <row r="64" spans="9:11" x14ac:dyDescent="0.25">
      <c r="I64" s="45">
        <v>45168</v>
      </c>
      <c r="J64" s="43">
        <v>55200</v>
      </c>
      <c r="K64" s="43">
        <v>7728.0000000000009</v>
      </c>
    </row>
    <row r="65" spans="9:11" x14ac:dyDescent="0.25">
      <c r="I65" s="42" t="s">
        <v>62</v>
      </c>
      <c r="J65" s="43">
        <v>55200</v>
      </c>
      <c r="K65" s="43">
        <v>7728.0000000000009</v>
      </c>
    </row>
    <row r="66" spans="9:11" x14ac:dyDescent="0.25">
      <c r="I66" s="44" t="s">
        <v>121</v>
      </c>
      <c r="J66" s="43">
        <v>55200</v>
      </c>
      <c r="K66" s="43">
        <v>7728.0000000000009</v>
      </c>
    </row>
    <row r="67" spans="9:11" x14ac:dyDescent="0.25">
      <c r="I67" s="42" t="s">
        <v>20</v>
      </c>
      <c r="J67" s="43">
        <v>141100</v>
      </c>
      <c r="K67" s="43">
        <v>19754</v>
      </c>
    </row>
    <row r="68" spans="9:11" x14ac:dyDescent="0.25">
      <c r="I68" s="42" t="s">
        <v>7</v>
      </c>
      <c r="J68" s="43">
        <v>81800</v>
      </c>
      <c r="K68" s="43">
        <v>11452.000000000002</v>
      </c>
    </row>
    <row r="69" spans="9:11" x14ac:dyDescent="0.25">
      <c r="I69" s="45">
        <v>45094</v>
      </c>
      <c r="J69" s="43">
        <v>3200</v>
      </c>
      <c r="K69" s="43">
        <v>448.00000000000006</v>
      </c>
    </row>
    <row r="70" spans="9:11" x14ac:dyDescent="0.25">
      <c r="I70" s="42" t="s">
        <v>60</v>
      </c>
      <c r="J70" s="43">
        <v>3200</v>
      </c>
      <c r="K70" s="43">
        <v>448.00000000000006</v>
      </c>
    </row>
    <row r="71" spans="9:11" x14ac:dyDescent="0.25">
      <c r="I71" s="44" t="s">
        <v>70</v>
      </c>
      <c r="J71" s="43">
        <v>3200</v>
      </c>
      <c r="K71" s="43">
        <v>448.00000000000006</v>
      </c>
    </row>
    <row r="72" spans="9:11" x14ac:dyDescent="0.25">
      <c r="I72" s="45">
        <v>45108</v>
      </c>
      <c r="J72" s="43">
        <v>8100</v>
      </c>
      <c r="K72" s="43">
        <v>1134</v>
      </c>
    </row>
    <row r="73" spans="9:11" x14ac:dyDescent="0.25">
      <c r="I73" s="42" t="s">
        <v>61</v>
      </c>
      <c r="J73" s="43">
        <v>8100</v>
      </c>
      <c r="K73" s="43">
        <v>1134</v>
      </c>
    </row>
    <row r="74" spans="9:11" x14ac:dyDescent="0.25">
      <c r="I74" s="44" t="s">
        <v>89</v>
      </c>
      <c r="J74" s="43">
        <v>8100</v>
      </c>
      <c r="K74" s="43">
        <v>1134</v>
      </c>
    </row>
    <row r="75" spans="9:11" x14ac:dyDescent="0.25">
      <c r="I75" s="45">
        <v>45122</v>
      </c>
      <c r="J75" s="43">
        <v>9500</v>
      </c>
      <c r="K75" s="43">
        <v>1330.0000000000002</v>
      </c>
    </row>
    <row r="76" spans="9:11" x14ac:dyDescent="0.25">
      <c r="I76" s="42" t="s">
        <v>61</v>
      </c>
      <c r="J76" s="43">
        <v>9500</v>
      </c>
      <c r="K76" s="43">
        <v>1330.0000000000002</v>
      </c>
    </row>
    <row r="77" spans="9:11" x14ac:dyDescent="0.25">
      <c r="I77" s="44" t="s">
        <v>90</v>
      </c>
      <c r="J77" s="43">
        <v>9500</v>
      </c>
      <c r="K77" s="43">
        <v>1330.0000000000002</v>
      </c>
    </row>
    <row r="78" spans="9:11" x14ac:dyDescent="0.25">
      <c r="I78" s="45">
        <v>45136</v>
      </c>
      <c r="J78" s="43">
        <v>36000</v>
      </c>
      <c r="K78" s="43">
        <v>5040.0000000000009</v>
      </c>
    </row>
    <row r="79" spans="9:11" x14ac:dyDescent="0.25">
      <c r="I79" s="42" t="s">
        <v>61</v>
      </c>
      <c r="J79" s="43">
        <v>36000</v>
      </c>
      <c r="K79" s="43">
        <v>5040.0000000000009</v>
      </c>
    </row>
    <row r="80" spans="9:11" x14ac:dyDescent="0.25">
      <c r="I80" s="44" t="s">
        <v>91</v>
      </c>
      <c r="J80" s="43">
        <v>36000</v>
      </c>
      <c r="K80" s="43">
        <v>5040.0000000000009</v>
      </c>
    </row>
    <row r="81" spans="9:11" x14ac:dyDescent="0.25">
      <c r="I81" s="45">
        <v>45150</v>
      </c>
      <c r="J81" s="43">
        <v>25000</v>
      </c>
      <c r="K81" s="43">
        <v>3500.0000000000005</v>
      </c>
    </row>
    <row r="82" spans="9:11" x14ac:dyDescent="0.25">
      <c r="I82" s="42" t="s">
        <v>62</v>
      </c>
      <c r="J82" s="43">
        <v>25000</v>
      </c>
      <c r="K82" s="43">
        <v>3500.0000000000005</v>
      </c>
    </row>
    <row r="83" spans="9:11" x14ac:dyDescent="0.25">
      <c r="I83" s="44" t="s">
        <v>122</v>
      </c>
      <c r="J83" s="43">
        <v>25000</v>
      </c>
      <c r="K83" s="43">
        <v>3500.0000000000005</v>
      </c>
    </row>
    <row r="84" spans="9:11" x14ac:dyDescent="0.25">
      <c r="I84" s="42" t="s">
        <v>9</v>
      </c>
      <c r="J84" s="43">
        <v>59300</v>
      </c>
      <c r="K84" s="43">
        <v>8302</v>
      </c>
    </row>
    <row r="85" spans="9:11" x14ac:dyDescent="0.25">
      <c r="I85" s="45">
        <v>45164</v>
      </c>
      <c r="J85" s="43">
        <v>59300</v>
      </c>
      <c r="K85" s="43">
        <v>8302</v>
      </c>
    </row>
    <row r="86" spans="9:11" x14ac:dyDescent="0.25">
      <c r="I86" s="42" t="s">
        <v>62</v>
      </c>
      <c r="J86" s="43">
        <v>59300</v>
      </c>
      <c r="K86" s="43">
        <v>8302</v>
      </c>
    </row>
    <row r="87" spans="9:11" x14ac:dyDescent="0.25">
      <c r="I87" s="44" t="s">
        <v>123</v>
      </c>
      <c r="J87" s="43">
        <v>59300</v>
      </c>
      <c r="K87" s="43">
        <v>8302</v>
      </c>
    </row>
    <row r="88" spans="9:11" x14ac:dyDescent="0.25">
      <c r="I88" s="42" t="s">
        <v>18</v>
      </c>
      <c r="J88" s="43">
        <v>233600</v>
      </c>
      <c r="K88" s="43">
        <v>32704.000000000004</v>
      </c>
    </row>
    <row r="89" spans="9:11" x14ac:dyDescent="0.25">
      <c r="I89" s="42" t="s">
        <v>7</v>
      </c>
      <c r="J89" s="43">
        <v>171600</v>
      </c>
      <c r="K89" s="43">
        <v>24024.000000000004</v>
      </c>
    </row>
    <row r="90" spans="9:11" x14ac:dyDescent="0.25">
      <c r="I90" s="45">
        <v>45092</v>
      </c>
      <c r="J90" s="43">
        <v>2000</v>
      </c>
      <c r="K90" s="43">
        <v>280</v>
      </c>
    </row>
    <row r="91" spans="9:11" x14ac:dyDescent="0.25">
      <c r="I91" s="42" t="s">
        <v>60</v>
      </c>
      <c r="J91" s="43">
        <v>2000</v>
      </c>
      <c r="K91" s="43">
        <v>280</v>
      </c>
    </row>
    <row r="92" spans="9:11" x14ac:dyDescent="0.25">
      <c r="I92" s="44" t="s">
        <v>71</v>
      </c>
      <c r="J92" s="43">
        <v>2000</v>
      </c>
      <c r="K92" s="43">
        <v>280</v>
      </c>
    </row>
    <row r="93" spans="9:11" x14ac:dyDescent="0.25">
      <c r="I93" s="45">
        <v>45106</v>
      </c>
      <c r="J93" s="43">
        <v>6500</v>
      </c>
      <c r="K93" s="43">
        <v>910.00000000000011</v>
      </c>
    </row>
    <row r="94" spans="9:11" x14ac:dyDescent="0.25">
      <c r="I94" s="42" t="s">
        <v>60</v>
      </c>
      <c r="J94" s="43">
        <v>6500</v>
      </c>
      <c r="K94" s="43">
        <v>910.00000000000011</v>
      </c>
    </row>
    <row r="95" spans="9:11" x14ac:dyDescent="0.25">
      <c r="I95" s="44" t="s">
        <v>72</v>
      </c>
      <c r="J95" s="43">
        <v>6500</v>
      </c>
      <c r="K95" s="43">
        <v>910.00000000000011</v>
      </c>
    </row>
    <row r="96" spans="9:11" x14ac:dyDescent="0.25">
      <c r="I96" s="45">
        <v>45120</v>
      </c>
      <c r="J96" s="43">
        <v>1100</v>
      </c>
      <c r="K96" s="43">
        <v>154.00000000000003</v>
      </c>
    </row>
    <row r="97" spans="9:11" x14ac:dyDescent="0.25">
      <c r="I97" s="42" t="s">
        <v>61</v>
      </c>
      <c r="J97" s="43">
        <v>1100</v>
      </c>
      <c r="K97" s="43">
        <v>154.00000000000003</v>
      </c>
    </row>
    <row r="98" spans="9:11" x14ac:dyDescent="0.25">
      <c r="I98" s="44" t="s">
        <v>92</v>
      </c>
      <c r="J98" s="43">
        <v>1100</v>
      </c>
      <c r="K98" s="43">
        <v>154.00000000000003</v>
      </c>
    </row>
    <row r="99" spans="9:11" x14ac:dyDescent="0.25">
      <c r="I99" s="45">
        <v>45134</v>
      </c>
      <c r="J99" s="43">
        <v>86000</v>
      </c>
      <c r="K99" s="43">
        <v>12040.000000000002</v>
      </c>
    </row>
    <row r="100" spans="9:11" x14ac:dyDescent="0.25">
      <c r="I100" s="42" t="s">
        <v>61</v>
      </c>
      <c r="J100" s="43">
        <v>86000</v>
      </c>
      <c r="K100" s="43">
        <v>12040.000000000002</v>
      </c>
    </row>
    <row r="101" spans="9:11" x14ac:dyDescent="0.25">
      <c r="I101" s="44" t="s">
        <v>93</v>
      </c>
      <c r="J101" s="43">
        <v>86000</v>
      </c>
      <c r="K101" s="43">
        <v>12040.000000000002</v>
      </c>
    </row>
    <row r="102" spans="9:11" x14ac:dyDescent="0.25">
      <c r="I102" s="45">
        <v>45148</v>
      </c>
      <c r="J102" s="43">
        <v>76000</v>
      </c>
      <c r="K102" s="43">
        <v>10640.000000000002</v>
      </c>
    </row>
    <row r="103" spans="9:11" x14ac:dyDescent="0.25">
      <c r="I103" s="42" t="s">
        <v>62</v>
      </c>
      <c r="J103" s="43">
        <v>76000</v>
      </c>
      <c r="K103" s="43">
        <v>10640.000000000002</v>
      </c>
    </row>
    <row r="104" spans="9:11" x14ac:dyDescent="0.25">
      <c r="I104" s="44" t="s">
        <v>124</v>
      </c>
      <c r="J104" s="43">
        <v>76000</v>
      </c>
      <c r="K104" s="43">
        <v>10640.000000000002</v>
      </c>
    </row>
    <row r="105" spans="9:11" x14ac:dyDescent="0.25">
      <c r="I105" s="42" t="s">
        <v>9</v>
      </c>
      <c r="J105" s="43">
        <v>62000</v>
      </c>
      <c r="K105" s="43">
        <v>8680</v>
      </c>
    </row>
    <row r="106" spans="9:11" x14ac:dyDescent="0.25">
      <c r="I106" s="45">
        <v>45162</v>
      </c>
      <c r="J106" s="43">
        <v>62000</v>
      </c>
      <c r="K106" s="43">
        <v>8680</v>
      </c>
    </row>
    <row r="107" spans="9:11" x14ac:dyDescent="0.25">
      <c r="I107" s="42" t="s">
        <v>62</v>
      </c>
      <c r="J107" s="43">
        <v>62000</v>
      </c>
      <c r="K107" s="43">
        <v>8680</v>
      </c>
    </row>
    <row r="108" spans="9:11" x14ac:dyDescent="0.25">
      <c r="I108" s="44" t="s">
        <v>125</v>
      </c>
      <c r="J108" s="43">
        <v>62000</v>
      </c>
      <c r="K108" s="43">
        <v>8680</v>
      </c>
    </row>
    <row r="109" spans="9:11" x14ac:dyDescent="0.25">
      <c r="I109" s="42" t="s">
        <v>25</v>
      </c>
      <c r="J109" s="43">
        <v>259500</v>
      </c>
      <c r="K109" s="43">
        <v>36330.000000000007</v>
      </c>
    </row>
    <row r="110" spans="9:11" x14ac:dyDescent="0.25">
      <c r="I110" s="42" t="s">
        <v>7</v>
      </c>
      <c r="J110" s="43">
        <v>155200</v>
      </c>
      <c r="K110" s="43">
        <v>21728.000000000004</v>
      </c>
    </row>
    <row r="111" spans="9:11" x14ac:dyDescent="0.25">
      <c r="I111" s="45">
        <v>45099</v>
      </c>
      <c r="J111" s="43">
        <v>71000</v>
      </c>
      <c r="K111" s="43">
        <v>9940.0000000000018</v>
      </c>
    </row>
    <row r="112" spans="9:11" x14ac:dyDescent="0.25">
      <c r="I112" s="42" t="s">
        <v>60</v>
      </c>
      <c r="J112" s="43">
        <v>71000</v>
      </c>
      <c r="K112" s="43">
        <v>9940.0000000000018</v>
      </c>
    </row>
    <row r="113" spans="9:11" x14ac:dyDescent="0.25">
      <c r="I113" s="44" t="s">
        <v>73</v>
      </c>
      <c r="J113" s="43">
        <v>71000</v>
      </c>
      <c r="K113" s="43">
        <v>9940.0000000000018</v>
      </c>
    </row>
    <row r="114" spans="9:11" x14ac:dyDescent="0.25">
      <c r="I114" s="45">
        <v>45113</v>
      </c>
      <c r="J114" s="43">
        <v>9200</v>
      </c>
      <c r="K114" s="43">
        <v>1288.0000000000002</v>
      </c>
    </row>
    <row r="115" spans="9:11" x14ac:dyDescent="0.25">
      <c r="I115" s="42" t="s">
        <v>61</v>
      </c>
      <c r="J115" s="43">
        <v>9200</v>
      </c>
      <c r="K115" s="43">
        <v>1288.0000000000002</v>
      </c>
    </row>
    <row r="116" spans="9:11" x14ac:dyDescent="0.25">
      <c r="I116" s="44" t="s">
        <v>94</v>
      </c>
      <c r="J116" s="43">
        <v>9200</v>
      </c>
      <c r="K116" s="43">
        <v>1288.0000000000002</v>
      </c>
    </row>
    <row r="117" spans="9:11" x14ac:dyDescent="0.25">
      <c r="I117" s="45">
        <v>45127</v>
      </c>
      <c r="J117" s="43">
        <v>43000</v>
      </c>
      <c r="K117" s="43">
        <v>6020.0000000000009</v>
      </c>
    </row>
    <row r="118" spans="9:11" x14ac:dyDescent="0.25">
      <c r="I118" s="42" t="s">
        <v>61</v>
      </c>
      <c r="J118" s="43">
        <v>43000</v>
      </c>
      <c r="K118" s="43">
        <v>6020.0000000000009</v>
      </c>
    </row>
    <row r="119" spans="9:11" x14ac:dyDescent="0.25">
      <c r="I119" s="44" t="s">
        <v>95</v>
      </c>
      <c r="J119" s="43">
        <v>43000</v>
      </c>
      <c r="K119" s="43">
        <v>6020.0000000000009</v>
      </c>
    </row>
    <row r="120" spans="9:11" x14ac:dyDescent="0.25">
      <c r="I120" s="45">
        <v>45141</v>
      </c>
      <c r="J120" s="43">
        <v>32000</v>
      </c>
      <c r="K120" s="43">
        <v>4480</v>
      </c>
    </row>
    <row r="121" spans="9:11" x14ac:dyDescent="0.25">
      <c r="I121" s="42" t="s">
        <v>62</v>
      </c>
      <c r="J121" s="43">
        <v>32000</v>
      </c>
      <c r="K121" s="43">
        <v>4480</v>
      </c>
    </row>
    <row r="122" spans="9:11" x14ac:dyDescent="0.25">
      <c r="I122" s="44" t="s">
        <v>126</v>
      </c>
      <c r="J122" s="43">
        <v>32000</v>
      </c>
      <c r="K122" s="43">
        <v>4480</v>
      </c>
    </row>
    <row r="123" spans="9:11" x14ac:dyDescent="0.25">
      <c r="I123" s="42" t="s">
        <v>8</v>
      </c>
      <c r="J123" s="43">
        <v>48100</v>
      </c>
      <c r="K123" s="43">
        <v>6734.0000000000009</v>
      </c>
    </row>
    <row r="124" spans="9:11" x14ac:dyDescent="0.25">
      <c r="I124" s="45">
        <v>45169</v>
      </c>
      <c r="J124" s="43">
        <v>48100</v>
      </c>
      <c r="K124" s="43">
        <v>6734.0000000000009</v>
      </c>
    </row>
    <row r="125" spans="9:11" x14ac:dyDescent="0.25">
      <c r="I125" s="42" t="s">
        <v>62</v>
      </c>
      <c r="J125" s="43">
        <v>48100</v>
      </c>
      <c r="K125" s="43">
        <v>6734.0000000000009</v>
      </c>
    </row>
    <row r="126" spans="9:11" x14ac:dyDescent="0.25">
      <c r="I126" s="44" t="s">
        <v>127</v>
      </c>
      <c r="J126" s="43">
        <v>48100</v>
      </c>
      <c r="K126" s="43">
        <v>6734.0000000000009</v>
      </c>
    </row>
    <row r="127" spans="9:11" x14ac:dyDescent="0.25">
      <c r="I127" s="42" t="s">
        <v>9</v>
      </c>
      <c r="J127" s="43">
        <v>56200</v>
      </c>
      <c r="K127" s="43">
        <v>7868.0000000000009</v>
      </c>
    </row>
    <row r="128" spans="9:11" x14ac:dyDescent="0.25">
      <c r="I128" s="45">
        <v>45155</v>
      </c>
      <c r="J128" s="43">
        <v>56200</v>
      </c>
      <c r="K128" s="43">
        <v>7868.0000000000009</v>
      </c>
    </row>
    <row r="129" spans="9:11" x14ac:dyDescent="0.25">
      <c r="I129" s="42" t="s">
        <v>62</v>
      </c>
      <c r="J129" s="43">
        <v>56200</v>
      </c>
      <c r="K129" s="43">
        <v>7868.0000000000009</v>
      </c>
    </row>
    <row r="130" spans="9:11" x14ac:dyDescent="0.25">
      <c r="I130" s="44" t="s">
        <v>128</v>
      </c>
      <c r="J130" s="43">
        <v>56200</v>
      </c>
      <c r="K130" s="43">
        <v>7868.0000000000009</v>
      </c>
    </row>
    <row r="131" spans="9:11" x14ac:dyDescent="0.25">
      <c r="I131" s="42" t="s">
        <v>29</v>
      </c>
      <c r="J131" s="43">
        <v>212300</v>
      </c>
      <c r="K131" s="43">
        <v>29722.000000000004</v>
      </c>
    </row>
    <row r="132" spans="9:11" x14ac:dyDescent="0.25">
      <c r="I132" s="42" t="s">
        <v>7</v>
      </c>
      <c r="J132" s="43">
        <v>212300</v>
      </c>
      <c r="K132" s="43">
        <v>29722.000000000004</v>
      </c>
    </row>
    <row r="133" spans="9:11" x14ac:dyDescent="0.25">
      <c r="I133" s="45">
        <v>45103</v>
      </c>
      <c r="J133" s="43">
        <v>9200</v>
      </c>
      <c r="K133" s="43">
        <v>1288.0000000000002</v>
      </c>
    </row>
    <row r="134" spans="9:11" x14ac:dyDescent="0.25">
      <c r="I134" s="42" t="s">
        <v>60</v>
      </c>
      <c r="J134" s="43">
        <v>9200</v>
      </c>
      <c r="K134" s="43">
        <v>1288.0000000000002</v>
      </c>
    </row>
    <row r="135" spans="9:11" x14ac:dyDescent="0.25">
      <c r="I135" s="44" t="s">
        <v>74</v>
      </c>
      <c r="J135" s="43">
        <v>9200</v>
      </c>
      <c r="K135" s="43">
        <v>1288.0000000000002</v>
      </c>
    </row>
    <row r="136" spans="9:11" x14ac:dyDescent="0.25">
      <c r="I136" s="45">
        <v>45117</v>
      </c>
      <c r="J136" s="43">
        <v>800</v>
      </c>
      <c r="K136" s="43">
        <v>112.00000000000001</v>
      </c>
    </row>
    <row r="137" spans="9:11" x14ac:dyDescent="0.25">
      <c r="I137" s="42" t="s">
        <v>61</v>
      </c>
      <c r="J137" s="43">
        <v>800</v>
      </c>
      <c r="K137" s="43">
        <v>112.00000000000001</v>
      </c>
    </row>
    <row r="138" spans="9:11" x14ac:dyDescent="0.25">
      <c r="I138" s="44" t="s">
        <v>96</v>
      </c>
      <c r="J138" s="43">
        <v>800</v>
      </c>
      <c r="K138" s="43">
        <v>112.00000000000001</v>
      </c>
    </row>
    <row r="139" spans="9:11" x14ac:dyDescent="0.25">
      <c r="I139" s="45">
        <v>45131</v>
      </c>
      <c r="J139" s="43">
        <v>85000</v>
      </c>
      <c r="K139" s="43">
        <v>11900.000000000002</v>
      </c>
    </row>
    <row r="140" spans="9:11" x14ac:dyDescent="0.25">
      <c r="I140" s="42" t="s">
        <v>61</v>
      </c>
      <c r="J140" s="43">
        <v>85000</v>
      </c>
      <c r="K140" s="43">
        <v>11900.000000000002</v>
      </c>
    </row>
    <row r="141" spans="9:11" x14ac:dyDescent="0.25">
      <c r="I141" s="44" t="s">
        <v>97</v>
      </c>
      <c r="J141" s="43">
        <v>85000</v>
      </c>
      <c r="K141" s="43">
        <v>11900.000000000002</v>
      </c>
    </row>
    <row r="142" spans="9:11" x14ac:dyDescent="0.25">
      <c r="I142" s="45">
        <v>45145</v>
      </c>
      <c r="J142" s="43">
        <v>74000</v>
      </c>
      <c r="K142" s="43">
        <v>10360.000000000002</v>
      </c>
    </row>
    <row r="143" spans="9:11" x14ac:dyDescent="0.25">
      <c r="I143" s="42" t="s">
        <v>62</v>
      </c>
      <c r="J143" s="43">
        <v>74000</v>
      </c>
      <c r="K143" s="43">
        <v>10360.000000000002</v>
      </c>
    </row>
    <row r="144" spans="9:11" x14ac:dyDescent="0.25">
      <c r="I144" s="44" t="s">
        <v>129</v>
      </c>
      <c r="J144" s="43">
        <v>74000</v>
      </c>
      <c r="K144" s="43">
        <v>10360.000000000002</v>
      </c>
    </row>
    <row r="145" spans="9:11" x14ac:dyDescent="0.25">
      <c r="I145" s="45">
        <v>45159</v>
      </c>
      <c r="J145" s="43">
        <v>28600</v>
      </c>
      <c r="K145" s="43">
        <v>4004.0000000000005</v>
      </c>
    </row>
    <row r="146" spans="9:11" x14ac:dyDescent="0.25">
      <c r="I146" s="42" t="s">
        <v>62</v>
      </c>
      <c r="J146" s="43">
        <v>28600</v>
      </c>
      <c r="K146" s="43">
        <v>4004.0000000000005</v>
      </c>
    </row>
    <row r="147" spans="9:11" x14ac:dyDescent="0.25">
      <c r="I147" s="44" t="s">
        <v>130</v>
      </c>
      <c r="J147" s="43">
        <v>28600</v>
      </c>
      <c r="K147" s="43">
        <v>4004.0000000000005</v>
      </c>
    </row>
    <row r="148" spans="9:11" x14ac:dyDescent="0.25">
      <c r="I148" s="45">
        <v>45173</v>
      </c>
      <c r="J148" s="43">
        <v>14700</v>
      </c>
      <c r="K148" s="43">
        <v>2058</v>
      </c>
    </row>
    <row r="149" spans="9:11" x14ac:dyDescent="0.25">
      <c r="I149" s="42" t="s">
        <v>63</v>
      </c>
      <c r="J149" s="43">
        <v>14700</v>
      </c>
      <c r="K149" s="43">
        <v>2058</v>
      </c>
    </row>
    <row r="150" spans="9:11" x14ac:dyDescent="0.25">
      <c r="I150" s="44" t="s">
        <v>131</v>
      </c>
      <c r="J150" s="43">
        <v>14700</v>
      </c>
      <c r="K150" s="43">
        <v>2058</v>
      </c>
    </row>
    <row r="151" spans="9:11" x14ac:dyDescent="0.25">
      <c r="I151" s="42" t="s">
        <v>22</v>
      </c>
      <c r="J151" s="43">
        <v>117660</v>
      </c>
      <c r="K151" s="43">
        <v>16472.400000000001</v>
      </c>
    </row>
    <row r="152" spans="9:11" x14ac:dyDescent="0.25">
      <c r="I152" s="42" t="s">
        <v>7</v>
      </c>
      <c r="J152" s="43">
        <v>85560</v>
      </c>
      <c r="K152" s="43">
        <v>11978.400000000001</v>
      </c>
    </row>
    <row r="153" spans="9:11" x14ac:dyDescent="0.25">
      <c r="I153" s="45">
        <v>45096</v>
      </c>
      <c r="J153" s="43">
        <v>2560</v>
      </c>
      <c r="K153" s="43">
        <v>358.40000000000003</v>
      </c>
    </row>
    <row r="154" spans="9:11" x14ac:dyDescent="0.25">
      <c r="I154" s="42" t="s">
        <v>60</v>
      </c>
      <c r="J154" s="43">
        <v>2560</v>
      </c>
      <c r="K154" s="43">
        <v>358.40000000000003</v>
      </c>
    </row>
    <row r="155" spans="9:11" x14ac:dyDescent="0.25">
      <c r="I155" s="44" t="s">
        <v>75</v>
      </c>
      <c r="J155" s="43">
        <v>2560</v>
      </c>
      <c r="K155" s="43">
        <v>358.40000000000003</v>
      </c>
    </row>
    <row r="156" spans="9:11" x14ac:dyDescent="0.25">
      <c r="I156" s="45">
        <v>45110</v>
      </c>
      <c r="J156" s="43">
        <v>600</v>
      </c>
      <c r="K156" s="43">
        <v>84.000000000000014</v>
      </c>
    </row>
    <row r="157" spans="9:11" x14ac:dyDescent="0.25">
      <c r="I157" s="42" t="s">
        <v>61</v>
      </c>
      <c r="J157" s="43">
        <v>600</v>
      </c>
      <c r="K157" s="43">
        <v>84.000000000000014</v>
      </c>
    </row>
    <row r="158" spans="9:11" x14ac:dyDescent="0.25">
      <c r="I158" s="44" t="s">
        <v>98</v>
      </c>
      <c r="J158" s="43">
        <v>600</v>
      </c>
      <c r="K158" s="43">
        <v>84.000000000000014</v>
      </c>
    </row>
    <row r="159" spans="9:11" x14ac:dyDescent="0.25">
      <c r="I159" s="45">
        <v>45124</v>
      </c>
      <c r="J159" s="43">
        <v>3500</v>
      </c>
      <c r="K159" s="43">
        <v>490.00000000000006</v>
      </c>
    </row>
    <row r="160" spans="9:11" x14ac:dyDescent="0.25">
      <c r="I160" s="42" t="s">
        <v>61</v>
      </c>
      <c r="J160" s="43">
        <v>3500</v>
      </c>
      <c r="K160" s="43">
        <v>490.00000000000006</v>
      </c>
    </row>
    <row r="161" spans="9:11" x14ac:dyDescent="0.25">
      <c r="I161" s="44" t="s">
        <v>99</v>
      </c>
      <c r="J161" s="43">
        <v>3500</v>
      </c>
      <c r="K161" s="43">
        <v>490.00000000000006</v>
      </c>
    </row>
    <row r="162" spans="9:11" x14ac:dyDescent="0.25">
      <c r="I162" s="45">
        <v>45138</v>
      </c>
      <c r="J162" s="43">
        <v>42000</v>
      </c>
      <c r="K162" s="43">
        <v>5880.0000000000009</v>
      </c>
    </row>
    <row r="163" spans="9:11" x14ac:dyDescent="0.25">
      <c r="I163" s="42" t="s">
        <v>61</v>
      </c>
      <c r="J163" s="43">
        <v>42000</v>
      </c>
      <c r="K163" s="43">
        <v>5880.0000000000009</v>
      </c>
    </row>
    <row r="164" spans="9:11" x14ac:dyDescent="0.25">
      <c r="I164" s="44" t="s">
        <v>100</v>
      </c>
      <c r="J164" s="43">
        <v>42000</v>
      </c>
      <c r="K164" s="43">
        <v>5880.0000000000009</v>
      </c>
    </row>
    <row r="165" spans="9:11" x14ac:dyDescent="0.25">
      <c r="I165" s="44" t="s">
        <v>36</v>
      </c>
      <c r="J165" s="43">
        <v>42000</v>
      </c>
      <c r="K165" s="43">
        <v>5880.0000000000009</v>
      </c>
    </row>
    <row r="166" spans="9:11" x14ac:dyDescent="0.25">
      <c r="I166" s="45">
        <v>45166</v>
      </c>
      <c r="J166" s="43">
        <v>36900</v>
      </c>
      <c r="K166" s="43">
        <v>5166.0000000000009</v>
      </c>
    </row>
    <row r="167" spans="9:11" x14ac:dyDescent="0.25">
      <c r="I167" s="42" t="s">
        <v>62</v>
      </c>
      <c r="J167" s="43">
        <v>36900</v>
      </c>
      <c r="K167" s="43">
        <v>5166.0000000000009</v>
      </c>
    </row>
    <row r="168" spans="9:11" x14ac:dyDescent="0.25">
      <c r="I168" s="44" t="s">
        <v>132</v>
      </c>
      <c r="J168" s="43">
        <v>36900</v>
      </c>
      <c r="K168" s="43">
        <v>5166.0000000000009</v>
      </c>
    </row>
    <row r="169" spans="9:11" x14ac:dyDescent="0.25">
      <c r="I169" s="42" t="s">
        <v>9</v>
      </c>
      <c r="J169" s="43">
        <v>32100</v>
      </c>
      <c r="K169" s="43">
        <v>4494</v>
      </c>
    </row>
    <row r="170" spans="9:11" x14ac:dyDescent="0.25">
      <c r="I170" s="45">
        <v>45152</v>
      </c>
      <c r="J170" s="43">
        <v>32100</v>
      </c>
      <c r="K170" s="43">
        <v>4494</v>
      </c>
    </row>
    <row r="171" spans="9:11" x14ac:dyDescent="0.25">
      <c r="I171" s="42" t="s">
        <v>62</v>
      </c>
      <c r="J171" s="43">
        <v>32100</v>
      </c>
      <c r="K171" s="43">
        <v>4494</v>
      </c>
    </row>
    <row r="172" spans="9:11" x14ac:dyDescent="0.25">
      <c r="I172" s="44" t="s">
        <v>133</v>
      </c>
      <c r="J172" s="43">
        <v>32100</v>
      </c>
      <c r="K172" s="43">
        <v>4494</v>
      </c>
    </row>
    <row r="173" spans="9:11" x14ac:dyDescent="0.25">
      <c r="I173" s="42" t="s">
        <v>21</v>
      </c>
      <c r="J173" s="43">
        <v>209000</v>
      </c>
      <c r="K173" s="43">
        <v>29260.000000000004</v>
      </c>
    </row>
    <row r="174" spans="9:11" x14ac:dyDescent="0.25">
      <c r="I174" s="42" t="s">
        <v>7</v>
      </c>
      <c r="J174" s="43">
        <v>143300</v>
      </c>
      <c r="K174" s="43">
        <v>20062.000000000004</v>
      </c>
    </row>
    <row r="175" spans="9:11" x14ac:dyDescent="0.25">
      <c r="I175" s="45">
        <v>45095</v>
      </c>
      <c r="J175" s="43">
        <v>84000</v>
      </c>
      <c r="K175" s="43">
        <v>11760.000000000002</v>
      </c>
    </row>
    <row r="176" spans="9:11" x14ac:dyDescent="0.25">
      <c r="I176" s="42" t="s">
        <v>60</v>
      </c>
      <c r="J176" s="43">
        <v>84000</v>
      </c>
      <c r="K176" s="43">
        <v>11760.000000000002</v>
      </c>
    </row>
    <row r="177" spans="9:11" x14ac:dyDescent="0.25">
      <c r="I177" s="44" t="s">
        <v>76</v>
      </c>
      <c r="J177" s="43">
        <v>84000</v>
      </c>
      <c r="K177" s="43">
        <v>11760.000000000002</v>
      </c>
    </row>
    <row r="178" spans="9:11" x14ac:dyDescent="0.25">
      <c r="I178" s="45">
        <v>45109</v>
      </c>
      <c r="J178" s="43">
        <v>41000</v>
      </c>
      <c r="K178" s="43">
        <v>5740.0000000000009</v>
      </c>
    </row>
    <row r="179" spans="9:11" x14ac:dyDescent="0.25">
      <c r="I179" s="42" t="s">
        <v>61</v>
      </c>
      <c r="J179" s="43">
        <v>41000</v>
      </c>
      <c r="K179" s="43">
        <v>5740.0000000000009</v>
      </c>
    </row>
    <row r="180" spans="9:11" x14ac:dyDescent="0.25">
      <c r="I180" s="44" t="s">
        <v>101</v>
      </c>
      <c r="J180" s="43">
        <v>41000</v>
      </c>
      <c r="K180" s="43">
        <v>5740.0000000000009</v>
      </c>
    </row>
    <row r="181" spans="9:11" x14ac:dyDescent="0.25">
      <c r="I181" s="45">
        <v>45123</v>
      </c>
      <c r="J181" s="43">
        <v>6300</v>
      </c>
      <c r="K181" s="43">
        <v>882.00000000000011</v>
      </c>
    </row>
    <row r="182" spans="9:11" x14ac:dyDescent="0.25">
      <c r="I182" s="42" t="s">
        <v>61</v>
      </c>
      <c r="J182" s="43">
        <v>6300</v>
      </c>
      <c r="K182" s="43">
        <v>882.00000000000011</v>
      </c>
    </row>
    <row r="183" spans="9:11" x14ac:dyDescent="0.25">
      <c r="I183" s="44" t="s">
        <v>102</v>
      </c>
      <c r="J183" s="43">
        <v>6300</v>
      </c>
      <c r="K183" s="43">
        <v>882.00000000000011</v>
      </c>
    </row>
    <row r="184" spans="9:11" x14ac:dyDescent="0.25">
      <c r="I184" s="45">
        <v>45137</v>
      </c>
      <c r="J184" s="43">
        <v>12000</v>
      </c>
      <c r="K184" s="43">
        <v>1680.0000000000002</v>
      </c>
    </row>
    <row r="185" spans="9:11" x14ac:dyDescent="0.25">
      <c r="I185" s="42" t="s">
        <v>61</v>
      </c>
      <c r="J185" s="43">
        <v>12000</v>
      </c>
      <c r="K185" s="43">
        <v>1680.0000000000002</v>
      </c>
    </row>
    <row r="186" spans="9:11" x14ac:dyDescent="0.25">
      <c r="I186" s="44" t="s">
        <v>103</v>
      </c>
      <c r="J186" s="43">
        <v>12000</v>
      </c>
      <c r="K186" s="43">
        <v>1680.0000000000002</v>
      </c>
    </row>
    <row r="187" spans="9:11" x14ac:dyDescent="0.25">
      <c r="I187" s="42" t="s">
        <v>9</v>
      </c>
      <c r="J187" s="43">
        <v>65700</v>
      </c>
      <c r="K187" s="43">
        <v>9198.0000000000018</v>
      </c>
    </row>
    <row r="188" spans="9:11" x14ac:dyDescent="0.25">
      <c r="I188" s="45">
        <v>45151</v>
      </c>
      <c r="J188" s="43">
        <v>23000</v>
      </c>
      <c r="K188" s="43">
        <v>3220.0000000000005</v>
      </c>
    </row>
    <row r="189" spans="9:11" x14ac:dyDescent="0.25">
      <c r="I189" s="42" t="s">
        <v>62</v>
      </c>
      <c r="J189" s="43">
        <v>23000</v>
      </c>
      <c r="K189" s="43">
        <v>3220.0000000000005</v>
      </c>
    </row>
    <row r="190" spans="9:11" x14ac:dyDescent="0.25">
      <c r="I190" s="44" t="s">
        <v>134</v>
      </c>
      <c r="J190" s="43">
        <v>23000</v>
      </c>
      <c r="K190" s="43">
        <v>3220.0000000000005</v>
      </c>
    </row>
    <row r="191" spans="9:11" x14ac:dyDescent="0.25">
      <c r="I191" s="45">
        <v>45165</v>
      </c>
      <c r="J191" s="43">
        <v>42700</v>
      </c>
      <c r="K191" s="43">
        <v>5978.0000000000009</v>
      </c>
    </row>
    <row r="192" spans="9:11" x14ac:dyDescent="0.25">
      <c r="I192" s="42" t="s">
        <v>62</v>
      </c>
      <c r="J192" s="43">
        <v>42700</v>
      </c>
      <c r="K192" s="43">
        <v>5978.0000000000009</v>
      </c>
    </row>
    <row r="193" spans="9:11" x14ac:dyDescent="0.25">
      <c r="I193" s="44" t="s">
        <v>135</v>
      </c>
      <c r="J193" s="43">
        <v>42700</v>
      </c>
      <c r="K193" s="43">
        <v>5978.0000000000009</v>
      </c>
    </row>
    <row r="194" spans="9:11" x14ac:dyDescent="0.25">
      <c r="I194" s="42" t="s">
        <v>27</v>
      </c>
      <c r="J194" s="43">
        <v>175600</v>
      </c>
      <c r="K194" s="43">
        <v>24584.000000000004</v>
      </c>
    </row>
    <row r="195" spans="9:11" x14ac:dyDescent="0.25">
      <c r="I195" s="42" t="s">
        <v>7</v>
      </c>
      <c r="J195" s="43">
        <v>151700</v>
      </c>
      <c r="K195" s="43">
        <v>21238.000000000004</v>
      </c>
    </row>
    <row r="196" spans="9:11" x14ac:dyDescent="0.25">
      <c r="I196" s="45">
        <v>45101</v>
      </c>
      <c r="J196" s="43">
        <v>2600</v>
      </c>
      <c r="K196" s="43">
        <v>364.00000000000006</v>
      </c>
    </row>
    <row r="197" spans="9:11" x14ac:dyDescent="0.25">
      <c r="I197" s="42" t="s">
        <v>60</v>
      </c>
      <c r="J197" s="43">
        <v>2600</v>
      </c>
      <c r="K197" s="43">
        <v>364.00000000000006</v>
      </c>
    </row>
    <row r="198" spans="9:11" x14ac:dyDescent="0.25">
      <c r="I198" s="44" t="s">
        <v>77</v>
      </c>
      <c r="J198" s="43">
        <v>2600</v>
      </c>
      <c r="K198" s="43">
        <v>364.00000000000006</v>
      </c>
    </row>
    <row r="199" spans="9:11" x14ac:dyDescent="0.25">
      <c r="I199" s="45">
        <v>45115</v>
      </c>
      <c r="J199" s="43">
        <v>6200</v>
      </c>
      <c r="K199" s="43">
        <v>868.00000000000011</v>
      </c>
    </row>
    <row r="200" spans="9:11" x14ac:dyDescent="0.25">
      <c r="I200" s="42" t="s">
        <v>61</v>
      </c>
      <c r="J200" s="43">
        <v>6200</v>
      </c>
      <c r="K200" s="43">
        <v>868.00000000000011</v>
      </c>
    </row>
    <row r="201" spans="9:11" x14ac:dyDescent="0.25">
      <c r="I201" s="44" t="s">
        <v>104</v>
      </c>
      <c r="J201" s="43">
        <v>6200</v>
      </c>
      <c r="K201" s="43">
        <v>868.00000000000011</v>
      </c>
    </row>
    <row r="202" spans="9:11" x14ac:dyDescent="0.25">
      <c r="I202" s="45">
        <v>45129</v>
      </c>
      <c r="J202" s="43">
        <v>24000</v>
      </c>
      <c r="K202" s="43">
        <v>3360.0000000000005</v>
      </c>
    </row>
    <row r="203" spans="9:11" x14ac:dyDescent="0.25">
      <c r="I203" s="42" t="s">
        <v>61</v>
      </c>
      <c r="J203" s="43">
        <v>24000</v>
      </c>
      <c r="K203" s="43">
        <v>3360.0000000000005</v>
      </c>
    </row>
    <row r="204" spans="9:11" x14ac:dyDescent="0.25">
      <c r="I204" s="44" t="s">
        <v>105</v>
      </c>
      <c r="J204" s="43">
        <v>24000</v>
      </c>
      <c r="K204" s="43">
        <v>3360.0000000000005</v>
      </c>
    </row>
    <row r="205" spans="9:11" x14ac:dyDescent="0.25">
      <c r="I205" s="45">
        <v>45143</v>
      </c>
      <c r="J205" s="43">
        <v>95000</v>
      </c>
      <c r="K205" s="43">
        <v>13300.000000000002</v>
      </c>
    </row>
    <row r="206" spans="9:11" x14ac:dyDescent="0.25">
      <c r="I206" s="42" t="s">
        <v>62</v>
      </c>
      <c r="J206" s="43">
        <v>95000</v>
      </c>
      <c r="K206" s="43">
        <v>13300.000000000002</v>
      </c>
    </row>
    <row r="207" spans="9:11" x14ac:dyDescent="0.25">
      <c r="I207" s="44" t="s">
        <v>136</v>
      </c>
      <c r="J207" s="43">
        <v>95000</v>
      </c>
      <c r="K207" s="43">
        <v>13300.000000000002</v>
      </c>
    </row>
    <row r="208" spans="9:11" x14ac:dyDescent="0.25">
      <c r="I208" s="45">
        <v>45171</v>
      </c>
      <c r="J208" s="43">
        <v>23900</v>
      </c>
      <c r="K208" s="43">
        <v>3346.0000000000005</v>
      </c>
    </row>
    <row r="209" spans="9:11" x14ac:dyDescent="0.25">
      <c r="I209" s="42" t="s">
        <v>63</v>
      </c>
      <c r="J209" s="43">
        <v>23900</v>
      </c>
      <c r="K209" s="43">
        <v>3346.0000000000005</v>
      </c>
    </row>
    <row r="210" spans="9:11" x14ac:dyDescent="0.25">
      <c r="I210" s="44" t="s">
        <v>137</v>
      </c>
      <c r="J210" s="43">
        <v>23900</v>
      </c>
      <c r="K210" s="43">
        <v>3346.0000000000005</v>
      </c>
    </row>
    <row r="211" spans="9:11" x14ac:dyDescent="0.25">
      <c r="I211" s="42" t="s">
        <v>9</v>
      </c>
      <c r="J211" s="43">
        <v>23900</v>
      </c>
      <c r="K211" s="43">
        <v>3346.0000000000005</v>
      </c>
    </row>
    <row r="212" spans="9:11" x14ac:dyDescent="0.25">
      <c r="I212" s="45">
        <v>45157</v>
      </c>
      <c r="J212" s="43">
        <v>23900</v>
      </c>
      <c r="K212" s="43">
        <v>3346.0000000000005</v>
      </c>
    </row>
    <row r="213" spans="9:11" x14ac:dyDescent="0.25">
      <c r="I213" s="42" t="s">
        <v>62</v>
      </c>
      <c r="J213" s="43">
        <v>23900</v>
      </c>
      <c r="K213" s="43">
        <v>3346.0000000000005</v>
      </c>
    </row>
    <row r="214" spans="9:11" x14ac:dyDescent="0.25">
      <c r="I214" s="44" t="s">
        <v>138</v>
      </c>
      <c r="J214" s="43">
        <v>23900</v>
      </c>
      <c r="K214" s="43">
        <v>3346.0000000000005</v>
      </c>
    </row>
    <row r="215" spans="9:11" x14ac:dyDescent="0.25">
      <c r="I215" s="42" t="s">
        <v>19</v>
      </c>
      <c r="J215" s="43">
        <v>264500</v>
      </c>
      <c r="K215" s="43">
        <v>37030.000000000007</v>
      </c>
    </row>
    <row r="216" spans="9:11" x14ac:dyDescent="0.25">
      <c r="I216" s="42" t="s">
        <v>7</v>
      </c>
      <c r="J216" s="43">
        <v>264500</v>
      </c>
      <c r="K216" s="43">
        <v>37030.000000000007</v>
      </c>
    </row>
    <row r="217" spans="9:11" x14ac:dyDescent="0.25">
      <c r="I217" s="45">
        <v>45093</v>
      </c>
      <c r="J217" s="43">
        <v>23000</v>
      </c>
      <c r="K217" s="43">
        <v>3220.0000000000005</v>
      </c>
    </row>
    <row r="218" spans="9:11" x14ac:dyDescent="0.25">
      <c r="I218" s="42" t="s">
        <v>60</v>
      </c>
      <c r="J218" s="43">
        <v>23000</v>
      </c>
      <c r="K218" s="43">
        <v>3220.0000000000005</v>
      </c>
    </row>
    <row r="219" spans="9:11" x14ac:dyDescent="0.25">
      <c r="I219" s="44" t="s">
        <v>78</v>
      </c>
      <c r="J219" s="43">
        <v>23000</v>
      </c>
      <c r="K219" s="43">
        <v>3220.0000000000005</v>
      </c>
    </row>
    <row r="220" spans="9:11" x14ac:dyDescent="0.25">
      <c r="I220" s="45">
        <v>45107</v>
      </c>
      <c r="J220" s="43">
        <v>7200</v>
      </c>
      <c r="K220" s="43">
        <v>1008.0000000000001</v>
      </c>
    </row>
    <row r="221" spans="9:11" x14ac:dyDescent="0.25">
      <c r="I221" s="42" t="s">
        <v>60</v>
      </c>
      <c r="J221" s="43">
        <v>7200</v>
      </c>
      <c r="K221" s="43">
        <v>1008.0000000000001</v>
      </c>
    </row>
    <row r="222" spans="9:11" x14ac:dyDescent="0.25">
      <c r="I222" s="44" t="s">
        <v>79</v>
      </c>
      <c r="J222" s="43">
        <v>7200</v>
      </c>
      <c r="K222" s="43">
        <v>1008.0000000000001</v>
      </c>
    </row>
    <row r="223" spans="9:11" x14ac:dyDescent="0.25">
      <c r="I223" s="45">
        <v>45121</v>
      </c>
      <c r="J223" s="43">
        <v>8700</v>
      </c>
      <c r="K223" s="43">
        <v>1218.0000000000002</v>
      </c>
    </row>
    <row r="224" spans="9:11" x14ac:dyDescent="0.25">
      <c r="I224" s="42" t="s">
        <v>61</v>
      </c>
      <c r="J224" s="43">
        <v>8700</v>
      </c>
      <c r="K224" s="43">
        <v>1218.0000000000002</v>
      </c>
    </row>
    <row r="225" spans="9:11" x14ac:dyDescent="0.25">
      <c r="I225" s="44" t="s">
        <v>106</v>
      </c>
      <c r="J225" s="43">
        <v>8700</v>
      </c>
      <c r="K225" s="43">
        <v>1218.0000000000002</v>
      </c>
    </row>
    <row r="226" spans="9:11" x14ac:dyDescent="0.25">
      <c r="I226" s="45">
        <v>45135</v>
      </c>
      <c r="J226" s="43">
        <v>52000</v>
      </c>
      <c r="K226" s="43">
        <v>7280.0000000000009</v>
      </c>
    </row>
    <row r="227" spans="9:11" x14ac:dyDescent="0.25">
      <c r="I227" s="42" t="s">
        <v>61</v>
      </c>
      <c r="J227" s="43">
        <v>52000</v>
      </c>
      <c r="K227" s="43">
        <v>7280.0000000000009</v>
      </c>
    </row>
    <row r="228" spans="9:11" x14ac:dyDescent="0.25">
      <c r="I228" s="44" t="s">
        <v>107</v>
      </c>
      <c r="J228" s="43">
        <v>52000</v>
      </c>
      <c r="K228" s="43">
        <v>7280.0000000000009</v>
      </c>
    </row>
    <row r="229" spans="9:11" x14ac:dyDescent="0.25">
      <c r="I229" s="45">
        <v>45149</v>
      </c>
      <c r="J229" s="43">
        <v>89000</v>
      </c>
      <c r="K229" s="43">
        <v>12460.000000000002</v>
      </c>
    </row>
    <row r="230" spans="9:11" x14ac:dyDescent="0.25">
      <c r="I230" s="42" t="s">
        <v>62</v>
      </c>
      <c r="J230" s="43">
        <v>89000</v>
      </c>
      <c r="K230" s="43">
        <v>12460.000000000002</v>
      </c>
    </row>
    <row r="231" spans="9:11" x14ac:dyDescent="0.25">
      <c r="I231" s="44" t="s">
        <v>139</v>
      </c>
      <c r="J231" s="43">
        <v>89000</v>
      </c>
      <c r="K231" s="43">
        <v>12460.000000000002</v>
      </c>
    </row>
    <row r="232" spans="9:11" x14ac:dyDescent="0.25">
      <c r="I232" s="45">
        <v>45163</v>
      </c>
      <c r="J232" s="43">
        <v>84600</v>
      </c>
      <c r="K232" s="43">
        <v>11844.000000000002</v>
      </c>
    </row>
    <row r="233" spans="9:11" x14ac:dyDescent="0.25">
      <c r="I233" s="42" t="s">
        <v>62</v>
      </c>
      <c r="J233" s="43">
        <v>84600</v>
      </c>
      <c r="K233" s="43">
        <v>11844.000000000002</v>
      </c>
    </row>
    <row r="234" spans="9:11" x14ac:dyDescent="0.25">
      <c r="I234" s="44" t="s">
        <v>140</v>
      </c>
      <c r="J234" s="43">
        <v>84600</v>
      </c>
      <c r="K234" s="43">
        <v>11844.000000000002</v>
      </c>
    </row>
    <row r="235" spans="9:11" x14ac:dyDescent="0.25">
      <c r="I235" s="42" t="s">
        <v>30</v>
      </c>
      <c r="J235" s="43">
        <v>270300</v>
      </c>
      <c r="K235" s="43">
        <v>37842</v>
      </c>
    </row>
    <row r="236" spans="9:11" x14ac:dyDescent="0.25">
      <c r="I236" s="42" t="s">
        <v>7</v>
      </c>
      <c r="J236" s="43">
        <v>237800</v>
      </c>
      <c r="K236" s="43">
        <v>33292</v>
      </c>
    </row>
    <row r="237" spans="9:11" x14ac:dyDescent="0.25">
      <c r="I237" s="45">
        <v>45104</v>
      </c>
      <c r="J237" s="43">
        <v>6100</v>
      </c>
      <c r="K237" s="43">
        <v>854.00000000000011</v>
      </c>
    </row>
    <row r="238" spans="9:11" x14ac:dyDescent="0.25">
      <c r="I238" s="42" t="s">
        <v>60</v>
      </c>
      <c r="J238" s="43">
        <v>6100</v>
      </c>
      <c r="K238" s="43">
        <v>854.00000000000011</v>
      </c>
    </row>
    <row r="239" spans="9:11" x14ac:dyDescent="0.25">
      <c r="I239" s="44" t="s">
        <v>80</v>
      </c>
      <c r="J239" s="43">
        <v>6100</v>
      </c>
      <c r="K239" s="43">
        <v>854.00000000000011</v>
      </c>
    </row>
    <row r="240" spans="9:11" x14ac:dyDescent="0.25">
      <c r="I240" s="45">
        <v>45118</v>
      </c>
      <c r="J240" s="43">
        <v>5500</v>
      </c>
      <c r="K240" s="43">
        <v>770.00000000000011</v>
      </c>
    </row>
    <row r="241" spans="9:11" x14ac:dyDescent="0.25">
      <c r="I241" s="42" t="s">
        <v>61</v>
      </c>
      <c r="J241" s="43">
        <v>5500</v>
      </c>
      <c r="K241" s="43">
        <v>770.00000000000011</v>
      </c>
    </row>
    <row r="242" spans="9:11" x14ac:dyDescent="0.25">
      <c r="I242" s="44" t="s">
        <v>108</v>
      </c>
      <c r="J242" s="43">
        <v>5500</v>
      </c>
      <c r="K242" s="43">
        <v>770.00000000000011</v>
      </c>
    </row>
    <row r="243" spans="9:11" x14ac:dyDescent="0.25">
      <c r="I243" s="45">
        <v>45132</v>
      </c>
      <c r="J243" s="43">
        <v>59000</v>
      </c>
      <c r="K243" s="43">
        <v>8260</v>
      </c>
    </row>
    <row r="244" spans="9:11" x14ac:dyDescent="0.25">
      <c r="I244" s="42" t="s">
        <v>61</v>
      </c>
      <c r="J244" s="43">
        <v>59000</v>
      </c>
      <c r="K244" s="43">
        <v>8260</v>
      </c>
    </row>
    <row r="245" spans="9:11" x14ac:dyDescent="0.25">
      <c r="I245" s="44" t="s">
        <v>109</v>
      </c>
      <c r="J245" s="43">
        <v>59000</v>
      </c>
      <c r="K245" s="43">
        <v>8260</v>
      </c>
    </row>
    <row r="246" spans="9:11" x14ac:dyDescent="0.25">
      <c r="I246" s="45">
        <v>45146</v>
      </c>
      <c r="J246" s="43">
        <v>81000</v>
      </c>
      <c r="K246" s="43">
        <v>11340.000000000002</v>
      </c>
    </row>
    <row r="247" spans="9:11" x14ac:dyDescent="0.25">
      <c r="I247" s="42" t="s">
        <v>62</v>
      </c>
      <c r="J247" s="43">
        <v>81000</v>
      </c>
      <c r="K247" s="43">
        <v>11340.000000000002</v>
      </c>
    </row>
    <row r="248" spans="9:11" x14ac:dyDescent="0.25">
      <c r="I248" s="44" t="s">
        <v>141</v>
      </c>
      <c r="J248" s="43">
        <v>81000</v>
      </c>
      <c r="K248" s="43">
        <v>11340.000000000002</v>
      </c>
    </row>
    <row r="249" spans="9:11" x14ac:dyDescent="0.25">
      <c r="I249" s="45">
        <v>45174</v>
      </c>
      <c r="J249" s="43">
        <v>86200</v>
      </c>
      <c r="K249" s="43">
        <v>12068.000000000002</v>
      </c>
    </row>
    <row r="250" spans="9:11" x14ac:dyDescent="0.25">
      <c r="I250" s="42" t="s">
        <v>63</v>
      </c>
      <c r="J250" s="43">
        <v>86200</v>
      </c>
      <c r="K250" s="43">
        <v>12068.000000000002</v>
      </c>
    </row>
    <row r="251" spans="9:11" x14ac:dyDescent="0.25">
      <c r="I251" s="44" t="s">
        <v>142</v>
      </c>
      <c r="J251" s="43">
        <v>86200</v>
      </c>
      <c r="K251" s="43">
        <v>12068.000000000002</v>
      </c>
    </row>
    <row r="252" spans="9:11" x14ac:dyDescent="0.25">
      <c r="I252" s="42" t="s">
        <v>9</v>
      </c>
      <c r="J252" s="43">
        <v>32500</v>
      </c>
      <c r="K252" s="43">
        <v>4550</v>
      </c>
    </row>
    <row r="253" spans="9:11" x14ac:dyDescent="0.25">
      <c r="I253" s="45">
        <v>45160</v>
      </c>
      <c r="J253" s="43">
        <v>32500</v>
      </c>
      <c r="K253" s="43">
        <v>4550</v>
      </c>
    </row>
    <row r="254" spans="9:11" x14ac:dyDescent="0.25">
      <c r="I254" s="42" t="s">
        <v>62</v>
      </c>
      <c r="J254" s="43">
        <v>32500</v>
      </c>
      <c r="K254" s="43">
        <v>4550</v>
      </c>
    </row>
    <row r="255" spans="9:11" x14ac:dyDescent="0.25">
      <c r="I255" s="44" t="s">
        <v>143</v>
      </c>
      <c r="J255" s="43">
        <v>32500</v>
      </c>
      <c r="K255" s="43">
        <v>4550</v>
      </c>
    </row>
    <row r="256" spans="9:11" x14ac:dyDescent="0.25">
      <c r="I256" s="42" t="s">
        <v>23</v>
      </c>
      <c r="J256" s="43">
        <v>111100</v>
      </c>
      <c r="K256" s="43">
        <v>15554</v>
      </c>
    </row>
    <row r="257" spans="9:11" x14ac:dyDescent="0.25">
      <c r="I257" s="42" t="s">
        <v>7</v>
      </c>
      <c r="J257" s="43">
        <v>84700</v>
      </c>
      <c r="K257" s="43">
        <v>11858</v>
      </c>
    </row>
    <row r="258" spans="9:11" x14ac:dyDescent="0.25">
      <c r="I258" s="45">
        <v>45097</v>
      </c>
      <c r="J258" s="43">
        <v>900</v>
      </c>
      <c r="K258" s="43">
        <v>126.00000000000001</v>
      </c>
    </row>
    <row r="259" spans="9:11" x14ac:dyDescent="0.25">
      <c r="I259" s="42" t="s">
        <v>60</v>
      </c>
      <c r="J259" s="43">
        <v>900</v>
      </c>
      <c r="K259" s="43">
        <v>126.00000000000001</v>
      </c>
    </row>
    <row r="260" spans="9:11" x14ac:dyDescent="0.25">
      <c r="I260" s="44" t="s">
        <v>81</v>
      </c>
      <c r="J260" s="43">
        <v>900</v>
      </c>
      <c r="K260" s="43">
        <v>126.00000000000001</v>
      </c>
    </row>
    <row r="261" spans="9:11" x14ac:dyDescent="0.25">
      <c r="I261" s="45">
        <v>45111</v>
      </c>
      <c r="J261" s="43">
        <v>4100</v>
      </c>
      <c r="K261" s="43">
        <v>574</v>
      </c>
    </row>
    <row r="262" spans="9:11" x14ac:dyDescent="0.25">
      <c r="I262" s="42" t="s">
        <v>61</v>
      </c>
      <c r="J262" s="43">
        <v>4100</v>
      </c>
      <c r="K262" s="43">
        <v>574</v>
      </c>
    </row>
    <row r="263" spans="9:11" x14ac:dyDescent="0.25">
      <c r="I263" s="44" t="s">
        <v>110</v>
      </c>
      <c r="J263" s="43">
        <v>4100</v>
      </c>
      <c r="K263" s="43">
        <v>574</v>
      </c>
    </row>
    <row r="264" spans="9:11" x14ac:dyDescent="0.25">
      <c r="I264" s="45">
        <v>45125</v>
      </c>
      <c r="J264" s="43">
        <v>3900</v>
      </c>
      <c r="K264" s="43">
        <v>546</v>
      </c>
    </row>
    <row r="265" spans="9:11" x14ac:dyDescent="0.25">
      <c r="I265" s="42" t="s">
        <v>61</v>
      </c>
      <c r="J265" s="43">
        <v>3900</v>
      </c>
      <c r="K265" s="43">
        <v>546</v>
      </c>
    </row>
    <row r="266" spans="9:11" x14ac:dyDescent="0.25">
      <c r="I266" s="44" t="s">
        <v>111</v>
      </c>
      <c r="J266" s="43">
        <v>3900</v>
      </c>
      <c r="K266" s="43">
        <v>546</v>
      </c>
    </row>
    <row r="267" spans="9:11" x14ac:dyDescent="0.25">
      <c r="I267" s="45">
        <v>45139</v>
      </c>
      <c r="J267" s="43">
        <v>46000</v>
      </c>
      <c r="K267" s="43">
        <v>6440.0000000000009</v>
      </c>
    </row>
    <row r="268" spans="9:11" x14ac:dyDescent="0.25">
      <c r="I268" s="42" t="s">
        <v>62</v>
      </c>
      <c r="J268" s="43">
        <v>46000</v>
      </c>
      <c r="K268" s="43">
        <v>6440.0000000000009</v>
      </c>
    </row>
    <row r="269" spans="9:11" x14ac:dyDescent="0.25">
      <c r="I269" s="44" t="s">
        <v>144</v>
      </c>
      <c r="J269" s="43">
        <v>46000</v>
      </c>
      <c r="K269" s="43">
        <v>6440.0000000000009</v>
      </c>
    </row>
    <row r="270" spans="9:11" x14ac:dyDescent="0.25">
      <c r="I270" s="45">
        <v>45167</v>
      </c>
      <c r="J270" s="43">
        <v>29800</v>
      </c>
      <c r="K270" s="43">
        <v>4172</v>
      </c>
    </row>
    <row r="271" spans="9:11" x14ac:dyDescent="0.25">
      <c r="I271" s="42" t="s">
        <v>62</v>
      </c>
      <c r="J271" s="43">
        <v>29800</v>
      </c>
      <c r="K271" s="43">
        <v>4172</v>
      </c>
    </row>
    <row r="272" spans="9:11" x14ac:dyDescent="0.25">
      <c r="I272" s="44" t="s">
        <v>145</v>
      </c>
      <c r="J272" s="43">
        <v>29800</v>
      </c>
      <c r="K272" s="43">
        <v>4172</v>
      </c>
    </row>
    <row r="273" spans="9:11" x14ac:dyDescent="0.25">
      <c r="I273" s="42" t="s">
        <v>9</v>
      </c>
      <c r="J273" s="43">
        <v>26400</v>
      </c>
      <c r="K273" s="43">
        <v>3696.0000000000005</v>
      </c>
    </row>
    <row r="274" spans="9:11" x14ac:dyDescent="0.25">
      <c r="I274" s="45">
        <v>45153</v>
      </c>
      <c r="J274" s="43">
        <v>26400</v>
      </c>
      <c r="K274" s="43">
        <v>3696.0000000000005</v>
      </c>
    </row>
    <row r="275" spans="9:11" x14ac:dyDescent="0.25">
      <c r="I275" s="42" t="s">
        <v>62</v>
      </c>
      <c r="J275" s="43">
        <v>26400</v>
      </c>
      <c r="K275" s="43">
        <v>3696.0000000000005</v>
      </c>
    </row>
    <row r="276" spans="9:11" x14ac:dyDescent="0.25">
      <c r="I276" s="44" t="s">
        <v>146</v>
      </c>
      <c r="J276" s="43">
        <v>26400</v>
      </c>
      <c r="K276" s="43">
        <v>3696.0000000000005</v>
      </c>
    </row>
    <row r="277" spans="9:11" x14ac:dyDescent="0.25">
      <c r="I277" s="42" t="s">
        <v>28</v>
      </c>
      <c r="J277" s="43">
        <v>179800</v>
      </c>
      <c r="K277" s="43">
        <v>25172</v>
      </c>
    </row>
    <row r="278" spans="9:11" x14ac:dyDescent="0.25">
      <c r="I278" s="42" t="s">
        <v>7</v>
      </c>
      <c r="J278" s="43">
        <v>152300</v>
      </c>
      <c r="K278" s="43">
        <v>21322</v>
      </c>
    </row>
    <row r="279" spans="9:11" x14ac:dyDescent="0.25">
      <c r="I279" s="45">
        <v>45102</v>
      </c>
      <c r="J279" s="43">
        <v>2800</v>
      </c>
      <c r="K279" s="43">
        <v>392.00000000000006</v>
      </c>
    </row>
    <row r="280" spans="9:11" x14ac:dyDescent="0.25">
      <c r="I280" s="42" t="s">
        <v>60</v>
      </c>
      <c r="J280" s="43">
        <v>2800</v>
      </c>
      <c r="K280" s="43">
        <v>392.00000000000006</v>
      </c>
    </row>
    <row r="281" spans="9:11" x14ac:dyDescent="0.25">
      <c r="I281" s="44" t="s">
        <v>82</v>
      </c>
      <c r="J281" s="43">
        <v>2800</v>
      </c>
      <c r="K281" s="43">
        <v>392.00000000000006</v>
      </c>
    </row>
    <row r="282" spans="9:11" x14ac:dyDescent="0.25">
      <c r="I282" s="45">
        <v>45116</v>
      </c>
      <c r="J282" s="43">
        <v>6700</v>
      </c>
      <c r="K282" s="43">
        <v>938.00000000000011</v>
      </c>
    </row>
    <row r="283" spans="9:11" x14ac:dyDescent="0.25">
      <c r="I283" s="42" t="s">
        <v>61</v>
      </c>
      <c r="J283" s="43">
        <v>6700</v>
      </c>
      <c r="K283" s="43">
        <v>938.00000000000011</v>
      </c>
    </row>
    <row r="284" spans="9:11" x14ac:dyDescent="0.25">
      <c r="I284" s="44" t="s">
        <v>112</v>
      </c>
      <c r="J284" s="43">
        <v>6700</v>
      </c>
      <c r="K284" s="43">
        <v>938.00000000000011</v>
      </c>
    </row>
    <row r="285" spans="9:11" x14ac:dyDescent="0.25">
      <c r="I285" s="45">
        <v>45130</v>
      </c>
      <c r="J285" s="43">
        <v>51000</v>
      </c>
      <c r="K285" s="43">
        <v>7140.0000000000009</v>
      </c>
    </row>
    <row r="286" spans="9:11" x14ac:dyDescent="0.25">
      <c r="I286" s="42" t="s">
        <v>61</v>
      </c>
      <c r="J286" s="43">
        <v>51000</v>
      </c>
      <c r="K286" s="43">
        <v>7140.0000000000009</v>
      </c>
    </row>
    <row r="287" spans="9:11" x14ac:dyDescent="0.25">
      <c r="I287" s="44" t="s">
        <v>113</v>
      </c>
      <c r="J287" s="43">
        <v>51000</v>
      </c>
      <c r="K287" s="43">
        <v>7140.0000000000009</v>
      </c>
    </row>
    <row r="288" spans="9:11" x14ac:dyDescent="0.25">
      <c r="I288" s="45">
        <v>45144</v>
      </c>
      <c r="J288" s="43">
        <v>68000</v>
      </c>
      <c r="K288" s="43">
        <v>9520</v>
      </c>
    </row>
    <row r="289" spans="9:11" x14ac:dyDescent="0.25">
      <c r="I289" s="42" t="s">
        <v>62</v>
      </c>
      <c r="J289" s="43">
        <v>68000</v>
      </c>
      <c r="K289" s="43">
        <v>9520</v>
      </c>
    </row>
    <row r="290" spans="9:11" x14ac:dyDescent="0.25">
      <c r="I290" s="44" t="s">
        <v>147</v>
      </c>
      <c r="J290" s="43">
        <v>68000</v>
      </c>
      <c r="K290" s="43">
        <v>9520</v>
      </c>
    </row>
    <row r="291" spans="9:11" x14ac:dyDescent="0.25">
      <c r="I291" s="45">
        <v>45172</v>
      </c>
      <c r="J291" s="43">
        <v>23800</v>
      </c>
      <c r="K291" s="43">
        <v>3332.0000000000005</v>
      </c>
    </row>
    <row r="292" spans="9:11" x14ac:dyDescent="0.25">
      <c r="I292" s="42" t="s">
        <v>63</v>
      </c>
      <c r="J292" s="43">
        <v>23800</v>
      </c>
      <c r="K292" s="43">
        <v>3332.0000000000005</v>
      </c>
    </row>
    <row r="293" spans="9:11" x14ac:dyDescent="0.25">
      <c r="I293" s="44" t="s">
        <v>148</v>
      </c>
      <c r="J293" s="43">
        <v>23800</v>
      </c>
      <c r="K293" s="43">
        <v>3332.0000000000005</v>
      </c>
    </row>
    <row r="294" spans="9:11" x14ac:dyDescent="0.25">
      <c r="I294" s="42" t="s">
        <v>9</v>
      </c>
      <c r="J294" s="43">
        <v>27500</v>
      </c>
      <c r="K294" s="43">
        <v>3850.0000000000005</v>
      </c>
    </row>
    <row r="295" spans="9:11" x14ac:dyDescent="0.25">
      <c r="I295" s="45">
        <v>45158</v>
      </c>
      <c r="J295" s="43">
        <v>27500</v>
      </c>
      <c r="K295" s="43">
        <v>3850.0000000000005</v>
      </c>
    </row>
    <row r="296" spans="9:11" x14ac:dyDescent="0.25">
      <c r="I296" s="42" t="s">
        <v>62</v>
      </c>
      <c r="J296" s="43">
        <v>27500</v>
      </c>
      <c r="K296" s="43">
        <v>3850.0000000000005</v>
      </c>
    </row>
    <row r="297" spans="9:11" x14ac:dyDescent="0.25">
      <c r="I297" s="44" t="s">
        <v>149</v>
      </c>
      <c r="J297" s="43">
        <v>27500</v>
      </c>
      <c r="K297" s="43">
        <v>3850.0000000000005</v>
      </c>
    </row>
    <row r="298" spans="9:11" x14ac:dyDescent="0.25">
      <c r="I298" s="42" t="s">
        <v>54</v>
      </c>
      <c r="J298" s="43">
        <v>2801060</v>
      </c>
      <c r="K298" s="43">
        <v>392148.4</v>
      </c>
    </row>
    <row r="299" spans="9:11" ht="15" x14ac:dyDescent="0.25">
      <c r="I299"/>
      <c r="J299"/>
      <c r="K29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6FB8-DECC-4E01-BD77-3799D4621454}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1A9F-573D-451B-AD46-A08532F5B16C}">
  <sheetPr>
    <tabColor theme="8" tint="0.59999389629810485"/>
  </sheetPr>
  <dimension ref="A3:C17"/>
  <sheetViews>
    <sheetView rightToLeft="1" zoomScale="115" zoomScaleNormal="115" workbookViewId="0">
      <selection activeCell="B6" sqref="B6"/>
    </sheetView>
  </sheetViews>
  <sheetFormatPr defaultRowHeight="15.75" x14ac:dyDescent="0.25"/>
  <cols>
    <col min="1" max="1" width="9.140625" style="19"/>
    <col min="2" max="3" width="23.5703125" style="22" customWidth="1"/>
  </cols>
  <sheetData>
    <row r="3" spans="1:3" s="26" customFormat="1" ht="18.75" x14ac:dyDescent="0.3">
      <c r="A3" s="27"/>
      <c r="B3" s="25" t="s">
        <v>50</v>
      </c>
      <c r="C3" s="25" t="s">
        <v>13</v>
      </c>
    </row>
    <row r="4" spans="1:3" x14ac:dyDescent="0.25">
      <c r="A4" s="20"/>
      <c r="B4" s="5" t="s">
        <v>17</v>
      </c>
      <c r="C4" s="5" t="s">
        <v>31</v>
      </c>
    </row>
    <row r="5" spans="1:3" x14ac:dyDescent="0.25">
      <c r="A5" s="20"/>
      <c r="B5" s="5" t="s">
        <v>18</v>
      </c>
      <c r="C5" s="5" t="s">
        <v>32</v>
      </c>
    </row>
    <row r="6" spans="1:3" x14ac:dyDescent="0.25">
      <c r="A6" s="20"/>
      <c r="B6" s="5" t="s">
        <v>19</v>
      </c>
      <c r="C6" s="5" t="s">
        <v>33</v>
      </c>
    </row>
    <row r="7" spans="1:3" x14ac:dyDescent="0.25">
      <c r="A7" s="20"/>
      <c r="B7" s="5" t="s">
        <v>20</v>
      </c>
      <c r="C7" s="5" t="s">
        <v>34</v>
      </c>
    </row>
    <row r="8" spans="1:3" x14ac:dyDescent="0.25">
      <c r="A8" s="20"/>
      <c r="B8" s="5" t="s">
        <v>21</v>
      </c>
      <c r="C8" s="5" t="s">
        <v>35</v>
      </c>
    </row>
    <row r="9" spans="1:3" x14ac:dyDescent="0.25">
      <c r="A9" s="20"/>
      <c r="B9" s="5" t="s">
        <v>22</v>
      </c>
      <c r="C9" s="5" t="s">
        <v>36</v>
      </c>
    </row>
    <row r="10" spans="1:3" x14ac:dyDescent="0.25">
      <c r="A10" s="20"/>
      <c r="B10" s="5" t="s">
        <v>23</v>
      </c>
      <c r="C10" s="5" t="s">
        <v>37</v>
      </c>
    </row>
    <row r="11" spans="1:3" x14ac:dyDescent="0.25">
      <c r="A11" s="20"/>
      <c r="B11" s="5" t="s">
        <v>24</v>
      </c>
      <c r="C11" s="5" t="s">
        <v>38</v>
      </c>
    </row>
    <row r="12" spans="1:3" x14ac:dyDescent="0.25">
      <c r="A12" s="20"/>
      <c r="B12" s="5" t="s">
        <v>25</v>
      </c>
      <c r="C12" s="5" t="s">
        <v>39</v>
      </c>
    </row>
    <row r="13" spans="1:3" x14ac:dyDescent="0.25">
      <c r="A13" s="20"/>
      <c r="B13" s="5" t="s">
        <v>26</v>
      </c>
      <c r="C13" s="5" t="s">
        <v>40</v>
      </c>
    </row>
    <row r="14" spans="1:3" x14ac:dyDescent="0.25">
      <c r="A14" s="20"/>
      <c r="B14" s="5" t="s">
        <v>27</v>
      </c>
      <c r="C14" s="5" t="s">
        <v>41</v>
      </c>
    </row>
    <row r="15" spans="1:3" x14ac:dyDescent="0.25">
      <c r="B15" s="5" t="s">
        <v>28</v>
      </c>
      <c r="C15" s="5" t="s">
        <v>42</v>
      </c>
    </row>
    <row r="16" spans="1:3" x14ac:dyDescent="0.25">
      <c r="B16" s="5" t="s">
        <v>29</v>
      </c>
      <c r="C16" s="5" t="s">
        <v>43</v>
      </c>
    </row>
    <row r="17" spans="2:3" x14ac:dyDescent="0.25">
      <c r="B17" s="5" t="s">
        <v>30</v>
      </c>
      <c r="C17" s="5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 Sheet</vt:lpstr>
      <vt:lpstr>Pivot table</vt:lpstr>
      <vt:lpstr>Sheet1</vt:lpstr>
      <vt:lpstr>Data Base</vt:lpstr>
      <vt:lpstr>'Main Sheet'!Extract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Molokhia</dc:creator>
  <cp:lastModifiedBy>Ismail Molokhia</cp:lastModifiedBy>
  <dcterms:created xsi:type="dcterms:W3CDTF">2026-08-04T01:13:31Z</dcterms:created>
  <dcterms:modified xsi:type="dcterms:W3CDTF">2026-09-02T19:58:39Z</dcterms:modified>
</cp:coreProperties>
</file>